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oman\Downloads\"/>
    </mc:Choice>
  </mc:AlternateContent>
  <xr:revisionPtr revIDLastSave="0" documentId="13_ncr:1_{1F68FC49-426B-4812-AE32-3FE4CA6CD290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Рекомендациии по заполнению" sheetId="1" r:id="rId1"/>
    <sheet name="Анкета" sheetId="2" r:id="rId2"/>
  </sheets>
  <definedNames>
    <definedName name="Z_58DA6C7F_C6B8_49ED_B93B_E4C5313499FE_.wvu.Cols" localSheetId="1" hidden="1">Анкета!#REF!</definedName>
    <definedName name="Z_58DA6C7F_C6B8_49ED_B93B_E4C5313499FE_.wvu.Cols" localSheetId="0" hidden="1">'Рекомендациии по заполнению'!$B:$XFD</definedName>
    <definedName name="Z_58DA6C7F_C6B8_49ED_B93B_E4C5313499FE_.wvu.Rows" localSheetId="1" hidden="1">Анкета!$142:$1048576</definedName>
    <definedName name="Z_58DA6C7F_C6B8_49ED_B93B_E4C5313499FE_.wvu.Rows" localSheetId="0" hidden="1">'Рекомендациии по заполнению'!$65:$1048576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14" i="2" l="1"/>
  <c r="J214" i="2"/>
  <c r="I214" i="2"/>
  <c r="H214" i="2"/>
  <c r="K193" i="2"/>
  <c r="J193" i="2"/>
  <c r="I193" i="2"/>
  <c r="H193" i="2"/>
  <c r="K171" i="2"/>
  <c r="J171" i="2"/>
  <c r="I171" i="2"/>
  <c r="H171" i="2"/>
  <c r="K161" i="2"/>
  <c r="J161" i="2"/>
  <c r="I161" i="2"/>
  <c r="H161" i="2"/>
  <c r="K152" i="2"/>
  <c r="J152" i="2"/>
  <c r="I152" i="2"/>
  <c r="H152" i="2"/>
  <c r="K141" i="2"/>
  <c r="L130" i="2"/>
  <c r="K130" i="2"/>
  <c r="J130" i="2"/>
  <c r="I130" i="2"/>
  <c r="H130" i="2"/>
  <c r="G130" i="2"/>
  <c r="L124" i="2"/>
  <c r="K124" i="2"/>
  <c r="J124" i="2"/>
  <c r="I124" i="2"/>
  <c r="H124" i="2"/>
  <c r="G124" i="2"/>
  <c r="H114" i="2"/>
  <c r="O112" i="2" s="1"/>
  <c r="G114" i="2"/>
  <c r="N112" i="2" s="1"/>
  <c r="O113" i="2"/>
  <c r="N113" i="2"/>
  <c r="K113" i="2"/>
  <c r="I112" i="2"/>
  <c r="J112" i="2" s="1"/>
  <c r="O111" i="2"/>
  <c r="N111" i="2"/>
  <c r="K111" i="2"/>
  <c r="O110" i="2"/>
  <c r="N110" i="2"/>
  <c r="K110" i="2"/>
  <c r="I109" i="2"/>
  <c r="J109" i="2" s="1"/>
  <c r="O108" i="2"/>
  <c r="N108" i="2"/>
  <c r="K108" i="2"/>
  <c r="O107" i="2"/>
  <c r="N107" i="2"/>
  <c r="I107" i="2"/>
  <c r="H103" i="2"/>
  <c r="O98" i="2" s="1"/>
  <c r="G103" i="2"/>
  <c r="N102" i="2" s="1"/>
  <c r="K102" i="2"/>
  <c r="O101" i="2"/>
  <c r="I101" i="2"/>
  <c r="I100" i="2"/>
  <c r="I99" i="2"/>
  <c r="N98" i="2"/>
  <c r="I98" i="2"/>
  <c r="N97" i="2"/>
  <c r="I97" i="2"/>
  <c r="N96" i="2"/>
  <c r="I96" i="2"/>
  <c r="J96" i="2" s="1"/>
  <c r="H92" i="2"/>
  <c r="O89" i="2" s="1"/>
  <c r="G92" i="2"/>
  <c r="N86" i="2" s="1"/>
  <c r="O91" i="2"/>
  <c r="N91" i="2"/>
  <c r="K91" i="2"/>
  <c r="O90" i="2"/>
  <c r="K90" i="2"/>
  <c r="N89" i="2"/>
  <c r="K89" i="2"/>
  <c r="O88" i="2"/>
  <c r="J88" i="2"/>
  <c r="I88" i="2"/>
  <c r="O87" i="2"/>
  <c r="J87" i="2"/>
  <c r="I87" i="2"/>
  <c r="O86" i="2"/>
  <c r="K86" i="2"/>
  <c r="O85" i="2"/>
  <c r="N85" i="2"/>
  <c r="K85" i="2"/>
  <c r="O84" i="2"/>
  <c r="J84" i="2"/>
  <c r="I84" i="2"/>
  <c r="O83" i="2"/>
  <c r="J83" i="2"/>
  <c r="I83" i="2"/>
  <c r="K83" i="2" s="1"/>
  <c r="O82" i="2"/>
  <c r="J82" i="2"/>
  <c r="J92" i="2" s="1"/>
  <c r="I82" i="2"/>
  <c r="K82" i="2" s="1"/>
  <c r="H79" i="2"/>
  <c r="O64" i="2" s="1"/>
  <c r="G79" i="2"/>
  <c r="N74" i="2" s="1"/>
  <c r="O78" i="2"/>
  <c r="N78" i="2"/>
  <c r="K78" i="2"/>
  <c r="N77" i="2"/>
  <c r="K77" i="2"/>
  <c r="O76" i="2"/>
  <c r="K76" i="2"/>
  <c r="N75" i="2"/>
  <c r="K75" i="2"/>
  <c r="K74" i="2"/>
  <c r="N73" i="2"/>
  <c r="K73" i="2"/>
  <c r="O72" i="2"/>
  <c r="N72" i="2"/>
  <c r="J72" i="2"/>
  <c r="I72" i="2"/>
  <c r="P72" i="2" s="1"/>
  <c r="K71" i="2"/>
  <c r="N70" i="2"/>
  <c r="K70" i="2"/>
  <c r="O69" i="2"/>
  <c r="N69" i="2"/>
  <c r="K69" i="2"/>
  <c r="O68" i="2"/>
  <c r="N68" i="2"/>
  <c r="K68" i="2"/>
  <c r="O67" i="2"/>
  <c r="K67" i="2"/>
  <c r="K66" i="2"/>
  <c r="O65" i="2"/>
  <c r="N65" i="2"/>
  <c r="K65" i="2"/>
  <c r="N64" i="2"/>
  <c r="K64" i="2"/>
  <c r="O63" i="2"/>
  <c r="N63" i="2"/>
  <c r="K63" i="2"/>
  <c r="O62" i="2"/>
  <c r="N62" i="2"/>
  <c r="K62" i="2"/>
  <c r="O61" i="2"/>
  <c r="I61" i="2"/>
  <c r="O60" i="2"/>
  <c r="N60" i="2"/>
  <c r="J60" i="2"/>
  <c r="I60" i="2"/>
  <c r="K60" i="2" s="1"/>
  <c r="O59" i="2"/>
  <c r="N59" i="2"/>
  <c r="J59" i="2"/>
  <c r="K59" i="2" s="1"/>
  <c r="I59" i="2"/>
  <c r="I79" i="2" s="1"/>
  <c r="H56" i="2"/>
  <c r="O52" i="2" s="1"/>
  <c r="G56" i="2"/>
  <c r="N47" i="2" s="1"/>
  <c r="O55" i="2"/>
  <c r="K55" i="2"/>
  <c r="N54" i="2"/>
  <c r="K54" i="2"/>
  <c r="O53" i="2"/>
  <c r="N53" i="2"/>
  <c r="K53" i="2"/>
  <c r="N52" i="2"/>
  <c r="K52" i="2"/>
  <c r="O51" i="2"/>
  <c r="N51" i="2"/>
  <c r="K51" i="2"/>
  <c r="N50" i="2"/>
  <c r="K50" i="2"/>
  <c r="O49" i="2"/>
  <c r="N49" i="2"/>
  <c r="K49" i="2"/>
  <c r="N48" i="2"/>
  <c r="K48" i="2"/>
  <c r="K47" i="2"/>
  <c r="N46" i="2"/>
  <c r="K46" i="2"/>
  <c r="N45" i="2"/>
  <c r="K45" i="2"/>
  <c r="O44" i="2"/>
  <c r="N44" i="2"/>
  <c r="K44" i="2"/>
  <c r="O43" i="2"/>
  <c r="K43" i="2"/>
  <c r="N42" i="2"/>
  <c r="K42" i="2"/>
  <c r="O41" i="2"/>
  <c r="N41" i="2"/>
  <c r="K41" i="2"/>
  <c r="N40" i="2"/>
  <c r="I40" i="2"/>
  <c r="N39" i="2"/>
  <c r="I39" i="2"/>
  <c r="O38" i="2"/>
  <c r="N38" i="2"/>
  <c r="I38" i="2"/>
  <c r="J38" i="2" s="1"/>
  <c r="H35" i="2"/>
  <c r="G35" i="2"/>
  <c r="N29" i="2" s="1"/>
  <c r="O34" i="2"/>
  <c r="N34" i="2"/>
  <c r="K34" i="2"/>
  <c r="O33" i="2"/>
  <c r="N33" i="2"/>
  <c r="K33" i="2"/>
  <c r="O32" i="2"/>
  <c r="N32" i="2"/>
  <c r="K32" i="2"/>
  <c r="O31" i="2"/>
  <c r="J31" i="2"/>
  <c r="I31" i="2"/>
  <c r="O30" i="2"/>
  <c r="N30" i="2"/>
  <c r="J30" i="2"/>
  <c r="I30" i="2"/>
  <c r="O29" i="2"/>
  <c r="J29" i="2"/>
  <c r="K29" i="2" s="1"/>
  <c r="I29" i="2"/>
  <c r="O28" i="2"/>
  <c r="I28" i="2"/>
  <c r="O27" i="2"/>
  <c r="N27" i="2"/>
  <c r="J27" i="2"/>
  <c r="K27" i="2" s="1"/>
  <c r="I27" i="2"/>
  <c r="O26" i="2"/>
  <c r="N26" i="2"/>
  <c r="J26" i="2"/>
  <c r="I26" i="2"/>
  <c r="O25" i="2"/>
  <c r="J25" i="2"/>
  <c r="I25" i="2"/>
  <c r="O24" i="2"/>
  <c r="N24" i="2"/>
  <c r="J24" i="2"/>
  <c r="I24" i="2"/>
  <c r="O23" i="2"/>
  <c r="J23" i="2"/>
  <c r="K23" i="2" s="1"/>
  <c r="I23" i="2"/>
  <c r="O22" i="2"/>
  <c r="I22" i="2"/>
  <c r="O21" i="2"/>
  <c r="N21" i="2"/>
  <c r="J21" i="2"/>
  <c r="K21" i="2" s="1"/>
  <c r="I21" i="2"/>
  <c r="O20" i="2"/>
  <c r="O35" i="2" s="1"/>
  <c r="N20" i="2"/>
  <c r="J20" i="2"/>
  <c r="I20" i="2"/>
  <c r="H16" i="2"/>
  <c r="G16" i="2"/>
  <c r="H15" i="2"/>
  <c r="G15" i="2"/>
  <c r="H14" i="2"/>
  <c r="G14" i="2"/>
  <c r="H13" i="2"/>
  <c r="G13" i="2"/>
  <c r="H12" i="2"/>
  <c r="G12" i="2"/>
  <c r="H11" i="2"/>
  <c r="G11" i="2"/>
  <c r="L27" i="2" l="1"/>
  <c r="N11" i="2"/>
  <c r="L59" i="2"/>
  <c r="O92" i="2"/>
  <c r="Q91" i="2"/>
  <c r="Q85" i="2"/>
  <c r="Q89" i="2"/>
  <c r="Q82" i="2"/>
  <c r="J14" i="2"/>
  <c r="Q86" i="2"/>
  <c r="Q90" i="2"/>
  <c r="J56" i="2"/>
  <c r="Q38" i="2" s="1"/>
  <c r="N13" i="2"/>
  <c r="L83" i="2"/>
  <c r="Q87" i="2"/>
  <c r="L82" i="2"/>
  <c r="Q83" i="2"/>
  <c r="L23" i="2"/>
  <c r="K61" i="2"/>
  <c r="P88" i="2"/>
  <c r="L21" i="2"/>
  <c r="K39" i="2"/>
  <c r="P84" i="2"/>
  <c r="N12" i="2"/>
  <c r="L60" i="2"/>
  <c r="L29" i="2"/>
  <c r="Q88" i="2"/>
  <c r="P107" i="2"/>
  <c r="N15" i="2"/>
  <c r="K40" i="2"/>
  <c r="Q72" i="2"/>
  <c r="Q84" i="2"/>
  <c r="K97" i="2"/>
  <c r="N114" i="2"/>
  <c r="P69" i="2"/>
  <c r="P77" i="2"/>
  <c r="P62" i="2"/>
  <c r="P67" i="2"/>
  <c r="P75" i="2"/>
  <c r="P65" i="2"/>
  <c r="P73" i="2"/>
  <c r="P70" i="2"/>
  <c r="P78" i="2"/>
  <c r="P63" i="2"/>
  <c r="P60" i="2"/>
  <c r="P68" i="2"/>
  <c r="P76" i="2"/>
  <c r="P61" i="2"/>
  <c r="I13" i="2"/>
  <c r="P66" i="2"/>
  <c r="P74" i="2"/>
  <c r="P71" i="2"/>
  <c r="P64" i="2"/>
  <c r="I35" i="2"/>
  <c r="K38" i="2"/>
  <c r="O47" i="2"/>
  <c r="N66" i="2"/>
  <c r="O71" i="2"/>
  <c r="O74" i="2"/>
  <c r="J79" i="2"/>
  <c r="I92" i="2"/>
  <c r="K96" i="2"/>
  <c r="O102" i="2"/>
  <c r="K109" i="2"/>
  <c r="K112" i="2"/>
  <c r="G17" i="2"/>
  <c r="N16" i="2" s="1"/>
  <c r="N22" i="2"/>
  <c r="N28" i="2"/>
  <c r="O39" i="2"/>
  <c r="O56" i="2" s="1"/>
  <c r="O42" i="2"/>
  <c r="O54" i="2"/>
  <c r="N61" i="2"/>
  <c r="N79" i="2" s="1"/>
  <c r="O66" i="2"/>
  <c r="O79" i="2" s="1"/>
  <c r="N76" i="2"/>
  <c r="N82" i="2"/>
  <c r="N92" i="2" s="1"/>
  <c r="O97" i="2"/>
  <c r="J101" i="2"/>
  <c r="H17" i="2"/>
  <c r="O14" i="2" s="1"/>
  <c r="K101" i="2"/>
  <c r="N109" i="2"/>
  <c r="K20" i="2"/>
  <c r="K26" i="2"/>
  <c r="I56" i="2"/>
  <c r="O96" i="2"/>
  <c r="O103" i="2" s="1"/>
  <c r="J100" i="2"/>
  <c r="O109" i="2"/>
  <c r="O114" i="2" s="1"/>
  <c r="K100" i="2"/>
  <c r="N101" i="2"/>
  <c r="P109" i="2"/>
  <c r="P112" i="2"/>
  <c r="K25" i="2"/>
  <c r="K31" i="2"/>
  <c r="O46" i="2"/>
  <c r="O70" i="2"/>
  <c r="O73" i="2"/>
  <c r="K88" i="2"/>
  <c r="J99" i="2"/>
  <c r="I114" i="2"/>
  <c r="K99" i="2"/>
  <c r="N100" i="2"/>
  <c r="J107" i="2"/>
  <c r="K24" i="2"/>
  <c r="N25" i="2"/>
  <c r="N35" i="2" s="1"/>
  <c r="K30" i="2"/>
  <c r="N31" i="2"/>
  <c r="J40" i="2"/>
  <c r="N43" i="2"/>
  <c r="N56" i="2" s="1"/>
  <c r="O48" i="2"/>
  <c r="N55" i="2"/>
  <c r="P59" i="2"/>
  <c r="N67" i="2"/>
  <c r="K72" i="2"/>
  <c r="O75" i="2"/>
  <c r="K84" i="2"/>
  <c r="K92" i="2" s="1"/>
  <c r="K87" i="2"/>
  <c r="N88" i="2"/>
  <c r="J98" i="2"/>
  <c r="K98" i="2" s="1"/>
  <c r="O100" i="2"/>
  <c r="I103" i="2"/>
  <c r="P98" i="2" s="1"/>
  <c r="K107" i="2"/>
  <c r="N99" i="2"/>
  <c r="N103" i="2" s="1"/>
  <c r="J39" i="2"/>
  <c r="O50" i="2"/>
  <c r="O77" i="2"/>
  <c r="N84" i="2"/>
  <c r="N87" i="2"/>
  <c r="N90" i="2"/>
  <c r="J97" i="2"/>
  <c r="O99" i="2"/>
  <c r="J22" i="2"/>
  <c r="J28" i="2"/>
  <c r="K28" i="2" s="1"/>
  <c r="O45" i="2"/>
  <c r="J61" i="2"/>
  <c r="N23" i="2"/>
  <c r="O40" i="2"/>
  <c r="N71" i="2"/>
  <c r="N83" i="2"/>
  <c r="L28" i="2" l="1"/>
  <c r="L98" i="2"/>
  <c r="R91" i="2"/>
  <c r="R85" i="2"/>
  <c r="R89" i="2"/>
  <c r="K14" i="2"/>
  <c r="R86" i="2"/>
  <c r="R82" i="2"/>
  <c r="R90" i="2"/>
  <c r="R83" i="2"/>
  <c r="L61" i="2"/>
  <c r="P45" i="2"/>
  <c r="P50" i="2"/>
  <c r="P55" i="2"/>
  <c r="P43" i="2"/>
  <c r="P48" i="2"/>
  <c r="P53" i="2"/>
  <c r="P41" i="2"/>
  <c r="P46" i="2"/>
  <c r="P51" i="2"/>
  <c r="P44" i="2"/>
  <c r="P38" i="2"/>
  <c r="P49" i="2"/>
  <c r="I12" i="2"/>
  <c r="P54" i="2"/>
  <c r="P42" i="2"/>
  <c r="P47" i="2"/>
  <c r="P52" i="2"/>
  <c r="L97" i="2"/>
  <c r="R97" i="2"/>
  <c r="Q22" i="2"/>
  <c r="Q40" i="2"/>
  <c r="L26" i="2"/>
  <c r="O15" i="2"/>
  <c r="O12" i="2"/>
  <c r="K79" i="2"/>
  <c r="R88" i="2"/>
  <c r="L88" i="2"/>
  <c r="P96" i="2"/>
  <c r="I15" i="2"/>
  <c r="P97" i="2"/>
  <c r="P102" i="2"/>
  <c r="L30" i="2"/>
  <c r="O13" i="2"/>
  <c r="O11" i="2"/>
  <c r="O17" i="2" s="1"/>
  <c r="Q50" i="2"/>
  <c r="J12" i="2"/>
  <c r="Q55" i="2"/>
  <c r="Q43" i="2"/>
  <c r="Q48" i="2"/>
  <c r="Q53" i="2"/>
  <c r="Q41" i="2"/>
  <c r="Q46" i="2"/>
  <c r="Q51" i="2"/>
  <c r="Q44" i="2"/>
  <c r="Q49" i="2"/>
  <c r="Q54" i="2"/>
  <c r="Q42" i="2"/>
  <c r="Q47" i="2"/>
  <c r="Q52" i="2"/>
  <c r="Q45" i="2"/>
  <c r="Q98" i="2"/>
  <c r="L20" i="2"/>
  <c r="K103" i="2"/>
  <c r="R96" i="2" s="1"/>
  <c r="L96" i="2"/>
  <c r="L31" i="2"/>
  <c r="P90" i="2"/>
  <c r="P91" i="2"/>
  <c r="P85" i="2"/>
  <c r="P89" i="2"/>
  <c r="P82" i="2"/>
  <c r="I14" i="2"/>
  <c r="P86" i="2"/>
  <c r="L87" i="2"/>
  <c r="R87" i="2"/>
  <c r="L25" i="2"/>
  <c r="R101" i="2"/>
  <c r="L101" i="2"/>
  <c r="Q77" i="2"/>
  <c r="Q62" i="2"/>
  <c r="Q67" i="2"/>
  <c r="Q75" i="2"/>
  <c r="J13" i="2"/>
  <c r="Q65" i="2"/>
  <c r="Q59" i="2"/>
  <c r="Q73" i="2"/>
  <c r="Q70" i="2"/>
  <c r="Q78" i="2"/>
  <c r="Q63" i="2"/>
  <c r="Q60" i="2"/>
  <c r="Q68" i="2"/>
  <c r="Q76" i="2"/>
  <c r="Q66" i="2"/>
  <c r="Q74" i="2"/>
  <c r="Q71" i="2"/>
  <c r="Q64" i="2"/>
  <c r="Q69" i="2"/>
  <c r="K22" i="2"/>
  <c r="L39" i="2"/>
  <c r="R39" i="2"/>
  <c r="P99" i="2"/>
  <c r="Q92" i="2"/>
  <c r="P33" i="2"/>
  <c r="I11" i="2"/>
  <c r="P34" i="2"/>
  <c r="P27" i="2"/>
  <c r="P21" i="2"/>
  <c r="P32" i="2"/>
  <c r="P28" i="2"/>
  <c r="P22" i="2"/>
  <c r="P29" i="2"/>
  <c r="P23" i="2"/>
  <c r="L40" i="2"/>
  <c r="P24" i="2"/>
  <c r="J114" i="2"/>
  <c r="Q107" i="2"/>
  <c r="J35" i="2"/>
  <c r="P26" i="2"/>
  <c r="N17" i="2"/>
  <c r="L24" i="2"/>
  <c r="P39" i="2"/>
  <c r="P101" i="2"/>
  <c r="L99" i="2"/>
  <c r="L100" i="2"/>
  <c r="P31" i="2"/>
  <c r="P20" i="2"/>
  <c r="Q39" i="2"/>
  <c r="Q56" i="2" s="1"/>
  <c r="P79" i="2"/>
  <c r="P113" i="2"/>
  <c r="P110" i="2"/>
  <c r="P111" i="2"/>
  <c r="P108" i="2"/>
  <c r="P114" i="2" s="1"/>
  <c r="I16" i="2"/>
  <c r="P40" i="2"/>
  <c r="N14" i="2"/>
  <c r="O16" i="2"/>
  <c r="L107" i="2"/>
  <c r="K114" i="2"/>
  <c r="R107" i="2"/>
  <c r="R109" i="2"/>
  <c r="L109" i="2"/>
  <c r="P30" i="2"/>
  <c r="Q28" i="2"/>
  <c r="L84" i="2"/>
  <c r="R84" i="2"/>
  <c r="L72" i="2"/>
  <c r="L92" i="2"/>
  <c r="S83" i="2" s="1"/>
  <c r="P87" i="2"/>
  <c r="P100" i="2"/>
  <c r="Q61" i="2"/>
  <c r="P83" i="2"/>
  <c r="R112" i="2"/>
  <c r="L112" i="2"/>
  <c r="R38" i="2"/>
  <c r="K56" i="2"/>
  <c r="L38" i="2"/>
  <c r="P25" i="2"/>
  <c r="J103" i="2"/>
  <c r="Q97" i="2" s="1"/>
  <c r="R92" i="2" l="1"/>
  <c r="S39" i="2"/>
  <c r="R114" i="2"/>
  <c r="R22" i="2"/>
  <c r="L22" i="2"/>
  <c r="P103" i="2"/>
  <c r="L56" i="2"/>
  <c r="S38" i="2" s="1"/>
  <c r="S82" i="2"/>
  <c r="S88" i="2"/>
  <c r="R48" i="2"/>
  <c r="R46" i="2"/>
  <c r="R44" i="2"/>
  <c r="K12" i="2"/>
  <c r="R54" i="2"/>
  <c r="R42" i="2"/>
  <c r="R47" i="2"/>
  <c r="R52" i="2"/>
  <c r="R50" i="2"/>
  <c r="R43" i="2"/>
  <c r="R49" i="2"/>
  <c r="R41" i="2"/>
  <c r="R56" i="2" s="1"/>
  <c r="R45" i="2"/>
  <c r="R55" i="2"/>
  <c r="R51" i="2"/>
  <c r="R53" i="2"/>
  <c r="R111" i="2"/>
  <c r="R108" i="2"/>
  <c r="K16" i="2"/>
  <c r="R113" i="2"/>
  <c r="R110" i="2"/>
  <c r="P35" i="2"/>
  <c r="L103" i="2"/>
  <c r="S97" i="2" s="1"/>
  <c r="S96" i="2"/>
  <c r="R75" i="2"/>
  <c r="R73" i="2"/>
  <c r="R70" i="2"/>
  <c r="R68" i="2"/>
  <c r="R76" i="2"/>
  <c r="K13" i="2"/>
  <c r="R66" i="2"/>
  <c r="R74" i="2"/>
  <c r="R71" i="2"/>
  <c r="R64" i="2"/>
  <c r="R77" i="2"/>
  <c r="R62" i="2"/>
  <c r="R69" i="2"/>
  <c r="R60" i="2"/>
  <c r="R67" i="2"/>
  <c r="R78" i="2"/>
  <c r="R59" i="2"/>
  <c r="R65" i="2"/>
  <c r="R63" i="2"/>
  <c r="R72" i="2"/>
  <c r="Q34" i="2"/>
  <c r="Q27" i="2"/>
  <c r="Q21" i="2"/>
  <c r="Q32" i="2"/>
  <c r="Q23" i="2"/>
  <c r="Q33" i="2"/>
  <c r="J11" i="2"/>
  <c r="Q30" i="2"/>
  <c r="Q25" i="2"/>
  <c r="Q20" i="2"/>
  <c r="Q29" i="2"/>
  <c r="Q24" i="2"/>
  <c r="Q31" i="2"/>
  <c r="Q26" i="2"/>
  <c r="P12" i="2"/>
  <c r="J15" i="2"/>
  <c r="Q102" i="2"/>
  <c r="Q96" i="2"/>
  <c r="Q103" i="2" s="1"/>
  <c r="Q101" i="2"/>
  <c r="S87" i="2"/>
  <c r="J16" i="2"/>
  <c r="Q111" i="2"/>
  <c r="Q108" i="2"/>
  <c r="Q114" i="2" s="1"/>
  <c r="Q113" i="2"/>
  <c r="Q110" i="2"/>
  <c r="Q112" i="2"/>
  <c r="Q109" i="2"/>
  <c r="P92" i="2"/>
  <c r="P56" i="2"/>
  <c r="R61" i="2"/>
  <c r="L79" i="2"/>
  <c r="S61" i="2" s="1"/>
  <c r="S109" i="2"/>
  <c r="S91" i="2"/>
  <c r="S85" i="2"/>
  <c r="S89" i="2"/>
  <c r="L14" i="2"/>
  <c r="S86" i="2"/>
  <c r="S90" i="2"/>
  <c r="L114" i="2"/>
  <c r="S112" i="2" s="1"/>
  <c r="S107" i="2"/>
  <c r="Q79" i="2"/>
  <c r="S100" i="2"/>
  <c r="P14" i="2"/>
  <c r="K15" i="2"/>
  <c r="R102" i="2"/>
  <c r="R98" i="2"/>
  <c r="R103" i="2" s="1"/>
  <c r="R100" i="2"/>
  <c r="K35" i="2"/>
  <c r="Q100" i="2"/>
  <c r="R99" i="2"/>
  <c r="I17" i="2"/>
  <c r="P13" i="2" s="1"/>
  <c r="Q99" i="2"/>
  <c r="S84" i="2"/>
  <c r="P16" i="2"/>
  <c r="S99" i="2"/>
  <c r="R40" i="2"/>
  <c r="P11" i="2" l="1"/>
  <c r="L35" i="2"/>
  <c r="Q16" i="2"/>
  <c r="S92" i="2"/>
  <c r="S75" i="2"/>
  <c r="S65" i="2"/>
  <c r="S73" i="2"/>
  <c r="S70" i="2"/>
  <c r="S78" i="2"/>
  <c r="S63" i="2"/>
  <c r="S68" i="2"/>
  <c r="S76" i="2"/>
  <c r="L13" i="2"/>
  <c r="S66" i="2"/>
  <c r="S74" i="2"/>
  <c r="S71" i="2"/>
  <c r="S64" i="2"/>
  <c r="S69" i="2"/>
  <c r="S77" i="2"/>
  <c r="S62" i="2"/>
  <c r="S67" i="2"/>
  <c r="S59" i="2"/>
  <c r="S60" i="2"/>
  <c r="S102" i="2"/>
  <c r="L15" i="2"/>
  <c r="P15" i="2"/>
  <c r="S111" i="2"/>
  <c r="S108" i="2"/>
  <c r="S113" i="2"/>
  <c r="S110" i="2"/>
  <c r="S114" i="2" s="1"/>
  <c r="L16" i="2"/>
  <c r="S72" i="2"/>
  <c r="R34" i="2"/>
  <c r="R32" i="2"/>
  <c r="K11" i="2"/>
  <c r="R27" i="2"/>
  <c r="R23" i="2"/>
  <c r="R21" i="2"/>
  <c r="R33" i="2"/>
  <c r="R29" i="2"/>
  <c r="R28" i="2"/>
  <c r="R20" i="2"/>
  <c r="R30" i="2"/>
  <c r="R26" i="2"/>
  <c r="R24" i="2"/>
  <c r="R25" i="2"/>
  <c r="R31" i="2"/>
  <c r="R79" i="2"/>
  <c r="S101" i="2"/>
  <c r="S103" i="2" s="1"/>
  <c r="S48" i="2"/>
  <c r="S53" i="2"/>
  <c r="S41" i="2"/>
  <c r="L12" i="2"/>
  <c r="S46" i="2"/>
  <c r="S51" i="2"/>
  <c r="S44" i="2"/>
  <c r="S49" i="2"/>
  <c r="S54" i="2"/>
  <c r="S42" i="2"/>
  <c r="S47" i="2"/>
  <c r="S52" i="2"/>
  <c r="S45" i="2"/>
  <c r="S50" i="2"/>
  <c r="S55" i="2"/>
  <c r="S43" i="2"/>
  <c r="S98" i="2"/>
  <c r="Q35" i="2"/>
  <c r="J17" i="2"/>
  <c r="Q15" i="2" s="1"/>
  <c r="S40" i="2"/>
  <c r="S56" i="2" s="1"/>
  <c r="S34" i="2" l="1"/>
  <c r="S32" i="2"/>
  <c r="S33" i="2"/>
  <c r="L11" i="2"/>
  <c r="S29" i="2"/>
  <c r="S21" i="2"/>
  <c r="S27" i="2"/>
  <c r="S23" i="2"/>
  <c r="S28" i="2"/>
  <c r="S25" i="2"/>
  <c r="S30" i="2"/>
  <c r="S26" i="2"/>
  <c r="S24" i="2"/>
  <c r="S20" i="2"/>
  <c r="S31" i="2"/>
  <c r="P17" i="2"/>
  <c r="S79" i="2"/>
  <c r="S22" i="2"/>
  <c r="Q14" i="2"/>
  <c r="Q12" i="2"/>
  <c r="Q13" i="2"/>
  <c r="Q11" i="2"/>
  <c r="K17" i="2"/>
  <c r="R35" i="2"/>
  <c r="S35" i="2" l="1"/>
  <c r="L17" i="2"/>
  <c r="S11" i="2"/>
  <c r="R14" i="2"/>
  <c r="R15" i="2"/>
  <c r="R13" i="2"/>
  <c r="R16" i="2"/>
  <c r="R12" i="2"/>
  <c r="R11" i="2"/>
  <c r="R17" i="2" s="1"/>
  <c r="Q17" i="2"/>
  <c r="S14" i="2" l="1"/>
  <c r="S15" i="2"/>
  <c r="S13" i="2"/>
  <c r="S16" i="2"/>
  <c r="S12" i="2"/>
  <c r="S17" i="2" s="1"/>
</calcChain>
</file>

<file path=xl/sharedStrings.xml><?xml version="1.0" encoding="utf-8"?>
<sst xmlns="http://schemas.openxmlformats.org/spreadsheetml/2006/main" count="553" uniqueCount="278">
  <si>
    <t>Инструкция по заполнению</t>
  </si>
  <si>
    <t xml:space="preserve">Необходимо заполнить поля белого цвета. </t>
  </si>
  <si>
    <t xml:space="preserve">Поля "итого" рассчитываются автоматически для контроля. Данные в таблице 1 рассчитываются автоматически по мере заполнения таблиц 2-5. Доли дохода от услуг также рассчитываются автоматически. Если Вы затрудняетесь с указанием точной выручки от каждого подсегмента,  заполните, пожалуйста, общий объем выручки в каждом сегменте IaaS, PaaS, SaaS, Сетевые и Прочие услуги и расставьте примерные доли каждого сегмента в процентах в колонке серого цвета. Тогда автоматический режим расчета работать не будет, но мы учтем эти данные в разбивке по подсегментам. 
</t>
  </si>
  <si>
    <t xml:space="preserve">Раскрытие информации.
Запрашиваемые данные будут использованы при подготовке трекера квартальной выручки «Облачный провайдинг 2025. Ежеквартальный мониторинг». 
</t>
  </si>
  <si>
    <t xml:space="preserve">По умолчанию действует следующий порядок использования и раскрытия информации:
В отчете в привязке к отдельным компаниям будут обрабатываться и использоваться следующие показатели: Таблица 1 "Виды услуг, все значения", Таблица 2 -"Сегменты IaaS", Таблица 3 -"Сегменты PaaS", Таблица 4 -"Сегменты SaaS", Таблицы 5-7 -"Безопасность, сетевые и прочие услуги". 
Данные из таблиц 8-17  используются для расчетов объемов инфраструктуры в целом по рынку и нигде не публиуются по отдельным компаниям.  
</t>
  </si>
  <si>
    <t xml:space="preserve">Если вы не хотите публично раскрывать данные, представленные в Таблицах 1-7 (или какие-либо иные данные), пожалуйста, сопровождайте их буквой  "к" (конфиденциально). В этом случае компания не будет участвовать в рейтинге. 
Если часть данных, запрашиваемых в анкете, вы готовы предоставить только на условиях заверенной конфиденциальности, то, пожалуйста, свяжитесь с нами для заключения соответствующего NDA. </t>
  </si>
  <si>
    <t xml:space="preserve">iKS-Consulting анализирует облачные услуги для сегментов B2B , B2G и B2C. </t>
  </si>
  <si>
    <t>Мы проводим различие между операционными облачными сервисами, предоставляемыми операторами / поставщиками услуг и проектами для реализации облака (консалтинг, обучение, установка и т.д.). 
При заполнении анкеты просим Вас разбить сумму получаемого Вами дохода от облачных услуг по следующим разделам:
▪ IaaS - предоставление услуг виртуальной  инфраструктуры как в публичном облаке, так и в частных облаках на оборудовании провайдера. Таким образом, мы относим к IaaS услуги предоставления виртуальных дата-центров (VDC) в публичных облаках, выделенные и виртуальные частные облака, за исключением услуг по построению частного облака на оборудовании клиента в его или в арендованном ЦОДе. Также к IaaS мы относим услуги по бэкапу, резервированию и восстановлению данных, услуги bare metal (при условии автоматического предоставления услуги через панель управления в личном кабинете и тарификации с периодом сутки или менее).
▪ PaaS - предоставление различного вида облачных платформ для разрабочиков, для размещения поставщиков облачных услуг, для развертывания контейнеров и т.д. 
▪ SaaS - предоставление собственного ПО в качестве облачной услуги или продажа услуг партнеров по SaaS через маркетплейс (облачную витрину).</t>
  </si>
  <si>
    <t>▪ Управление частным облаком на серверах клиента - услуга по поддержке и управлению облаком, которое расположено на оборудовании клиента и размещено в ЦОДе клиента или на арендованных стойках в коммерческом дата-центре. Мы выделяем такие услуги по управлению облачной инфраструктурой из сегмента IaaS и рассматриваем этот сегмент отдельно.  
▪ Поставка клиенту аппаратного обеспечения для построения частного облака - интеграторские услуги по поставке оборудования (в частности конвергированных и гиперконвергированных решений) для построения клиентом частного облака. 
▪ Поставка клиенту програмного обеспечения для построения частного облака
▪ Консультационные услуги по построению частных облаков
▪ Услуги по созданию и поддержке мультиоблака
Услуги информационной безопасности, включая SOC, AntiDDos</t>
  </si>
  <si>
    <t>В таблицах полученная выручка указывается за 2024, за первый квартал 2025 года, а также прогноз на весь 2025 год. В таблицах в правой колонке указывается количество клиентов на конец периода (2024 год, на конец первого квартала 2025 года и прогнозное значение на конец 2025 года).</t>
  </si>
  <si>
    <t>К IaaS относятся услуги предоставления инфраструктуры (дискового пространства, вычислительных мощностей) в частном или публичном облаке. Категории ПО, которые относятся к IaaS:</t>
  </si>
  <si>
    <t>·         Виртуальные ЦОДы в публичном облаке (Public Cloud)</t>
  </si>
  <si>
    <t>·         Виртуальные ЦОДы в частном облаке, построенном на инфраструктуре облачного провайдера (Private Cloud)</t>
  </si>
  <si>
    <t>·         VPS/VDS - частные виртуальные серверы (Virtual Private Server / Virtual Dedicated Server)</t>
  </si>
  <si>
    <t>·         Услуги bare metal – удаленный доступ к физическим серверам без виртуализации</t>
  </si>
  <si>
    <t>·         BaaS (BackUp), DRaaS (Disaster Recovery as a Service) - услуги выполнения backup и восстановления данных из систем хранения</t>
  </si>
  <si>
    <t>·         STaaS (Storage-as-a-Service) - услуга объектного хранения данных</t>
  </si>
  <si>
    <t>·         Предоставление облачной структуры, удовлетворяющей требованиям по защите персональных данных по закону 152-ФЗ</t>
  </si>
  <si>
    <t>·         VDI (Virtual Desktop Infrastructure) - разворачивание рабочих мест на базе удаленного сервера</t>
  </si>
  <si>
    <t>К SaaS iKS-Consulting относит  услуги по предоставлению доступа к программному обеспечению через Интернет на условиях аренды. Категории ПО, которые определяют подсегменты рынка SaaS:</t>
  </si>
  <si>
    <t>Офисные приложения:</t>
  </si>
  <si>
    <t>·         Пакеты программ, предназначенные для редактирования документов, создания, редактирования и расчета электронных таблиц, подготовки презентаций</t>
  </si>
  <si>
    <t>·         Программы для создания и редактирования графических изображений, подготовки графических рекламных материалов, верстки печатных и электронных изданий и т.д.</t>
  </si>
  <si>
    <t>·         Электронные переводчики, системы распознавания изображений</t>
  </si>
  <si>
    <t>·         Программы для контроля объема и качества интернет-трафика</t>
  </si>
  <si>
    <t>·         Облачные CRM-системы, отдельные элементы</t>
  </si>
  <si>
    <t>·         Системы управления предприятием</t>
  </si>
  <si>
    <t>·         Облачные  ERP-системы</t>
  </si>
  <si>
    <t>·         Облачные  SCM-системы</t>
  </si>
  <si>
    <t>Бизнес-приложения для бухгалтерского учета и отчетности</t>
  </si>
  <si>
    <t>·         Программы бухгалтерского учета</t>
  </si>
  <si>
    <t>·         Облачные приложения для подготовки отчетности в налоговые и статистические органы</t>
  </si>
  <si>
    <t>·         Средства коммуникации и управления веб-сайтами</t>
  </si>
  <si>
    <t>·         Почтовые системы</t>
  </si>
  <si>
    <t>·         Конструкторы сайтов, CMS -системы</t>
  </si>
  <si>
    <t>·         Программы для ведения чатов</t>
  </si>
  <si>
    <t>Программы для коммуникации клиентов</t>
  </si>
  <si>
    <t>·         Облачные программы для проведения видеоконференцсвязи (ВКС)</t>
  </si>
  <si>
    <t>·         Программы для проведения вебинаров, системы обучения</t>
  </si>
  <si>
    <t>Программы для телефонии</t>
  </si>
  <si>
    <t>·         Виртуальные АТС</t>
  </si>
  <si>
    <t>·         Виртуальные контакт-центры</t>
  </si>
  <si>
    <t>Системы безопасности и управления доступом</t>
  </si>
  <si>
    <t>·         Антивирусы</t>
  </si>
  <si>
    <t>·         Системы учета пользователей</t>
  </si>
  <si>
    <t>Системы аналитики</t>
  </si>
  <si>
    <t>·         Системы бизнес-аналитики</t>
  </si>
  <si>
    <t>·         Системы для проведения опросов</t>
  </si>
  <si>
    <t>Программы для контроля объема и качества интернет-трафика, анализ соц. сетей</t>
  </si>
  <si>
    <t>Облачное видеонаблюдение</t>
  </si>
  <si>
    <t>Укажите другие SaaS услуги, которые предоставляет ваша компания</t>
  </si>
  <si>
    <t xml:space="preserve">PaaS - «платформа как услуга» — модель предоставления облачных вычислений, при которой потребитель получает доступ к использованию информационно-технологических платформ: операционных систем, систем управления базами данных, связующему программному обеспечению, средствам разработки и тестирования, размещённым у облачного провайдера. </t>
  </si>
  <si>
    <t>Управление контейнерами (включая Kubernetes)</t>
  </si>
  <si>
    <t>Платформы для разработчиков, микросервисы</t>
  </si>
  <si>
    <t>Платформы для баз данных (DBaaS)</t>
  </si>
  <si>
    <t>Платформы для аналитики данных (BI)</t>
  </si>
  <si>
    <t>Виртуальный хостинг сайтов (Web-хостинг)</t>
  </si>
  <si>
    <t>Сети доставки контента (CDN)</t>
  </si>
  <si>
    <t>Communication PaaS (CPaaS), API Gateway</t>
  </si>
  <si>
    <t>MLOps (платформы для разработки моделей машинного обучения)</t>
  </si>
  <si>
    <t>Синтез и распознавание речи (включая ASR/TTS, NLP, перевод, речевая аналитика)</t>
  </si>
  <si>
    <t>Распознавание изображений, видео и документов</t>
  </si>
  <si>
    <t>Доступ к платформам генеративного ИИ</t>
  </si>
  <si>
    <t>ИИ-поиск (Search &amp; Knowledge Discovery)</t>
  </si>
  <si>
    <t>Платформы для расчетов на суперкомпьютере</t>
  </si>
  <si>
    <t>IoT платформы, в том числе платформы умного дома</t>
  </si>
  <si>
    <t>Доступ у услугам PaaS зарубежных гиперскейлеров</t>
  </si>
  <si>
    <t xml:space="preserve">Таблица 17 - под экосистемой понимаем совокупность дочерних, родительских, сестринских компаний, связанных имущественными правами или имеющих единые органы управления или тесное сотрудничество по основным видам деятельности. Решение о выборе поставщиков услуг внутри экосистемы не является полностью независимым. </t>
  </si>
  <si>
    <t>Исследование рынка облачных услуг - 4-й квартал и итоги 2025 года
*если компания ранее заполняла данные по 2025 году и 1-3 кварталу 2025 года, и изменений в данных нет, то эти данные можно не повторять</t>
  </si>
  <si>
    <t xml:space="preserve">Юридическое название компании   </t>
  </si>
  <si>
    <t>ООО "Флекс"</t>
  </si>
  <si>
    <t xml:space="preserve">Бренд, под которым предоставляются услуги   </t>
  </si>
  <si>
    <t>Cloud4Y</t>
  </si>
  <si>
    <t>Выручка от облачных услуг</t>
  </si>
  <si>
    <t>Доля от облачных услуг</t>
  </si>
  <si>
    <t>Количество клиентов на конец периода</t>
  </si>
  <si>
    <t>Таблица 1</t>
  </si>
  <si>
    <t>итог</t>
  </si>
  <si>
    <t>прогноз</t>
  </si>
  <si>
    <t>Виды услуг, все значения в млн руб., без НДС</t>
  </si>
  <si>
    <t>1q 2025</t>
  </si>
  <si>
    <t>2q 2025</t>
  </si>
  <si>
    <t>3q 2025</t>
  </si>
  <si>
    <t>4q 2025</t>
  </si>
  <si>
    <t>IaaS</t>
  </si>
  <si>
    <t>PaaS</t>
  </si>
  <si>
    <t>SaaS</t>
  </si>
  <si>
    <t>Сетевые услуги</t>
  </si>
  <si>
    <t>Безопасность и защита инфраструктуры</t>
  </si>
  <si>
    <t>Прочие услуги</t>
  </si>
  <si>
    <t>ВСЕГО от услуг в млн руб. без НДС</t>
  </si>
  <si>
    <t>Таблица 2</t>
  </si>
  <si>
    <t>Сегменты IaaS, млн руб.</t>
  </si>
  <si>
    <t>Продукты</t>
  </si>
  <si>
    <t>Виртуальный ЦОД  (Public cloud)</t>
  </si>
  <si>
    <t>Частное облако на инфраструктуре провайдера (Private cloud)</t>
  </si>
  <si>
    <t xml:space="preserve">Частные виртуальные серверы (VPS/VDS) </t>
  </si>
  <si>
    <t>Аренда серверов с GPU (графическими ускорителями)</t>
  </si>
  <si>
    <t>Объектное хранилище S3</t>
  </si>
  <si>
    <t>Резервное хранение (Backup as a Service)</t>
  </si>
  <si>
    <t>DRaaS (Disaster Recovery)</t>
  </si>
  <si>
    <t>VDI (вкл. Managed Workspaces)</t>
  </si>
  <si>
    <t>Лицензии на серверы и ОС / SPLA</t>
  </si>
  <si>
    <t>Облако 152-ФЗ как отдельная услуга</t>
  </si>
  <si>
    <t>КИИ облако - как отдельная услуга</t>
  </si>
  <si>
    <t>Серверы Bare Metal</t>
  </si>
  <si>
    <t>Продажа услуг IaaS российских облачных провайдеров</t>
  </si>
  <si>
    <t>Продажа услуг IaaS зарубежных гиперскейлеров</t>
  </si>
  <si>
    <t>Другое, укажите что</t>
  </si>
  <si>
    <t>Всего 100% от выручки IaaS</t>
  </si>
  <si>
    <t>Таблица 3</t>
  </si>
  <si>
    <t>Сегменты РaaS, млн руб.</t>
  </si>
  <si>
    <t>Платформы для комплексной работы с Big Data</t>
  </si>
  <si>
    <t xml:space="preserve">Communication PaaS (CPaaS), API Gateway </t>
  </si>
  <si>
    <t>Доступ у услугам PaaS российских провайдеров</t>
  </si>
  <si>
    <t>Всего 100% от выручки PaaS</t>
  </si>
  <si>
    <t>Таблица 4</t>
  </si>
  <si>
    <t>Сегменты SaaS, млн руб.</t>
  </si>
  <si>
    <t>Офисные программы, графич. ред. и т.п.</t>
  </si>
  <si>
    <t>Почта</t>
  </si>
  <si>
    <t>Облачный диск</t>
  </si>
  <si>
    <t>Конструкторы сайтов, CMS</t>
  </si>
  <si>
    <t>Чаты</t>
  </si>
  <si>
    <t>Анализ сайтов, соц. сетей</t>
  </si>
  <si>
    <t>Видеоконференции, вебинары, системы обучения</t>
  </si>
  <si>
    <t>Виртуальные АТС, call-центры (ВАТС с трафиком, без оборудования)</t>
  </si>
  <si>
    <t>CRM</t>
  </si>
  <si>
    <t>ERP, SCM, SRM, WMS, отдельные элементы</t>
  </si>
  <si>
    <t>Бухгалтерский учет, системы отчетности, ЭДО</t>
  </si>
  <si>
    <t>Управление персоналом, подбор персонала</t>
  </si>
  <si>
    <t xml:space="preserve">Корпоративная мобильность </t>
  </si>
  <si>
    <t>Антивирусы облачные и системы безопасности</t>
  </si>
  <si>
    <t xml:space="preserve">Process Management </t>
  </si>
  <si>
    <t xml:space="preserve">Process Mining </t>
  </si>
  <si>
    <t>Системы проведения опросов</t>
  </si>
  <si>
    <t xml:space="preserve">Облачный гейминг </t>
  </si>
  <si>
    <t>Облачное видеонаблюдение (без дохода от оборудования)</t>
  </si>
  <si>
    <t>Всего 100% от услуг SaaS</t>
  </si>
  <si>
    <t>Таблица 5</t>
  </si>
  <si>
    <t>Сетевая безопасность (включая NGFW/UTM, сетевое детектирование и реагирование, предотвращение вторжений)</t>
  </si>
  <si>
    <t>VPN каналы</t>
  </si>
  <si>
    <t>ГОСТ-VPN</t>
  </si>
  <si>
    <t>Cloud SDN</t>
  </si>
  <si>
    <t>SD-WAN</t>
  </si>
  <si>
    <t>Выделение IP</t>
  </si>
  <si>
    <t>Доступ в интернет</t>
  </si>
  <si>
    <t>Прочие сетевые услуги</t>
  </si>
  <si>
    <t>Всего 100% от сетевых услуг</t>
  </si>
  <si>
    <t>Таблица 6</t>
  </si>
  <si>
    <t>Безопасность, защита инфраструктуры</t>
  </si>
  <si>
    <t>Защита конечных точек</t>
  </si>
  <si>
    <t>SIEM, Threat Intelligence</t>
  </si>
  <si>
    <t>Защита от DDoS атак</t>
  </si>
  <si>
    <t>Защита веб-приложений (WAF)</t>
  </si>
  <si>
    <t>Услуги ИБ (SOC, MSSP, антибот, фишинг и обучение)</t>
  </si>
  <si>
    <t>Системы управления доступом (ауетентификация, IDP, PAM, PKI)</t>
  </si>
  <si>
    <t>Всего 100% от выручки от услуг по защите инфраструктуры</t>
  </si>
  <si>
    <t>Таблица 7</t>
  </si>
  <si>
    <t>Услуги по миграции в облако провайдера</t>
  </si>
  <si>
    <t>Управление частным облаком на серверах клиента</t>
  </si>
  <si>
    <t>Поставка ПО и оборудования для построения частного облака</t>
  </si>
  <si>
    <t>Консультационные услуги по построению частного облака</t>
  </si>
  <si>
    <t>Услуги по поддержке мультиоблака (MultiCloud)</t>
  </si>
  <si>
    <t>Продажа лицензий на ПО (не облачное)</t>
  </si>
  <si>
    <t>Всего 100% от выручки "Прочие"</t>
  </si>
  <si>
    <t>Инфраструктура для облачных услуг</t>
  </si>
  <si>
    <t>Таблица 8</t>
  </si>
  <si>
    <t xml:space="preserve">Доля систем виртуализации IaaS на конец периода в персчете на ядра 1 ГГц, % от общего количества ядер </t>
  </si>
  <si>
    <t xml:space="preserve">   KVM</t>
  </si>
  <si>
    <t xml:space="preserve">   Hyper-V</t>
  </si>
  <si>
    <t xml:space="preserve">   VMware</t>
  </si>
  <si>
    <t>Российские (укажите какие)</t>
  </si>
  <si>
    <t>Другие (укажите какие)</t>
  </si>
  <si>
    <t>Итого (в сумме должно быть 100%)</t>
  </si>
  <si>
    <t>Таблица 9</t>
  </si>
  <si>
    <t>Количество серверов и стоек, используемых для облачных услуг. шт., на конец периода</t>
  </si>
  <si>
    <t>Количество серверов и СХД, используемых для облаков</t>
  </si>
  <si>
    <t>Количество стоек в собственных ЦОДах</t>
  </si>
  <si>
    <t>Количество арендованных стоек в коммерческих ЦОДах</t>
  </si>
  <si>
    <t xml:space="preserve">Итого стоек (строки 125 + 126) </t>
  </si>
  <si>
    <t>Таблица 10</t>
  </si>
  <si>
    <t>ЦОДы, которые используются для предоставления облачных услуг (собственные и коммерческие)</t>
  </si>
  <si>
    <t>Nord4, Linx, KeyPoint</t>
  </si>
  <si>
    <t>Таблица 11</t>
  </si>
  <si>
    <t xml:space="preserve">Примерная структура затрат на предоставление облачных услуг (по итогам 1 полугодия 2025 года) </t>
  </si>
  <si>
    <t>Доля от затрат, %</t>
  </si>
  <si>
    <t xml:space="preserve">Затраты на поддержание собственной ИТ-инфраструктуры </t>
  </si>
  <si>
    <t>Инвестиции в развитие собственной инфраструктуры (в т.ч. закупка серверов и СХД)</t>
  </si>
  <si>
    <t xml:space="preserve">Затраты на аренду ИТ-инфраструктуры (включая арендуемые облачные услуги, colocation и проч.) </t>
  </si>
  <si>
    <t>Затраты на персонал</t>
  </si>
  <si>
    <t>Прочие затраты, что именно</t>
  </si>
  <si>
    <t>ВСЕГО (должно быть 100%)</t>
  </si>
  <si>
    <t>Пользователи облачных услуг в 2025 по итогам года</t>
  </si>
  <si>
    <t>Таблица 12</t>
  </si>
  <si>
    <t>Структура выручки в 2025 году по типу компании, % выручки</t>
  </si>
  <si>
    <t>IaaS, %</t>
  </si>
  <si>
    <t>PaaS, %</t>
  </si>
  <si>
    <t>SaaS, %</t>
  </si>
  <si>
    <t>Инфо-без, %</t>
  </si>
  <si>
    <t xml:space="preserve">SOHO, включая частных пользователей и ИП </t>
  </si>
  <si>
    <t>СМП (средние и малые предприятия)</t>
  </si>
  <si>
    <t>Госорганизации (госуправление, бюджетные)</t>
  </si>
  <si>
    <t xml:space="preserve">Крупные российские предприятия </t>
  </si>
  <si>
    <t>Российские госкорпорации</t>
  </si>
  <si>
    <t>Иностранные компании, представительства</t>
  </si>
  <si>
    <t>Итого ( в сумме должно быть 100%)</t>
  </si>
  <si>
    <t>Таблица 13</t>
  </si>
  <si>
    <t>Структура выручки в 2025 году по размеру компании, % выручки</t>
  </si>
  <si>
    <t>Микропредприятие (до 15 сотрудников, выручка до 120 млн руб.)</t>
  </si>
  <si>
    <t>Малые предприятия (16-100 сотрудников, до 800 млн руб. выручка)</t>
  </si>
  <si>
    <t>Средние предприятия 101-250 сотрудников, до 2 млрд руб. выручки)</t>
  </si>
  <si>
    <t>Средне-крупные предприятия (251-500 сотрудников, до 15 млрд руб. выручки)</t>
  </si>
  <si>
    <t>Крупные предприятия (501-1000 сотрудников, до 100 млрд руб. выручки)</t>
  </si>
  <si>
    <t>Корпорации (более 1000 сотрудников, более 100 млрд руб. выручки)</t>
  </si>
  <si>
    <t>Таблица 14</t>
  </si>
  <si>
    <t>Структура выручки по размеру среднемесячного платежа в 2025 году, % от выручки</t>
  </si>
  <si>
    <t>До 20 тысяч рублей/месяц</t>
  </si>
  <si>
    <t>От 20 до 50 тыс. рублей/месяц</t>
  </si>
  <si>
    <t>От 50 до 100 тыс. рублей/месяц</t>
  </si>
  <si>
    <t>От 100 до 200 тыс. рублей/месяц</t>
  </si>
  <si>
    <t>От 200 до 500 тыс. рублей/месяц</t>
  </si>
  <si>
    <t>От 500 тыс. до 1 млн рублей/месяц</t>
  </si>
  <si>
    <t>Более 1 млн рублей/месяц</t>
  </si>
  <si>
    <t>Таблица 15</t>
  </si>
  <si>
    <t xml:space="preserve">Пользователи облаков в 2025 году, % от выручки </t>
  </si>
  <si>
    <t>Банки, финансовые услуги, страхование</t>
  </si>
  <si>
    <t xml:space="preserve">Бюджетные организации и госструктуры </t>
  </si>
  <si>
    <t>Разработчики ПО и ИТ оборудования</t>
  </si>
  <si>
    <t>Облачные провайдеры</t>
  </si>
  <si>
    <t>Операторы связи</t>
  </si>
  <si>
    <t>Медицина и фармацевтика</t>
  </si>
  <si>
    <t>Нефте-газ, добыча полезных ископаемых</t>
  </si>
  <si>
    <t>Тяжелая промышленнность, кроме добычи</t>
  </si>
  <si>
    <t>Электроэнергетика</t>
  </si>
  <si>
    <t>Образование, инжиниринг, наука</t>
  </si>
  <si>
    <t>Медиа, реклама</t>
  </si>
  <si>
    <t>Оптовая и розничная торговля</t>
  </si>
  <si>
    <t>Легкая промышленность</t>
  </si>
  <si>
    <t>Агпро-промышленный комплекс</t>
  </si>
  <si>
    <t>Строительство и ЖКХ</t>
  </si>
  <si>
    <t>Транспорт  и логистика</t>
  </si>
  <si>
    <t>Недвижимость</t>
  </si>
  <si>
    <t>Гостинично-ресторанный бизнес</t>
  </si>
  <si>
    <t xml:space="preserve">Прочие </t>
  </si>
  <si>
    <t>Таблица 16</t>
  </si>
  <si>
    <t xml:space="preserve">Структура выручки  в 2025 г. по географии заказов, % </t>
  </si>
  <si>
    <t>Москва и Московская обл. (МО)</t>
  </si>
  <si>
    <t>Санкт-Петербург и Ленинградская обл. (ЛО)</t>
  </si>
  <si>
    <t>Центральный ФО (без МО)</t>
  </si>
  <si>
    <t>Северо-Западный ФО (без ЛО)</t>
  </si>
  <si>
    <t>Приволжский ФО</t>
  </si>
  <si>
    <t>Южный ФО</t>
  </si>
  <si>
    <t>Северо-Кавказский ФО</t>
  </si>
  <si>
    <t>Уральский ФО</t>
  </si>
  <si>
    <t>Сибирский ФО</t>
  </si>
  <si>
    <t>Дальневосточный ФО</t>
  </si>
  <si>
    <t>Иностранные 
заказчики</t>
  </si>
  <si>
    <t>Тамож. союз (Армения, Беларусь, Казахстан, Кыргызстан)</t>
  </si>
  <si>
    <t>Европа</t>
  </si>
  <si>
    <t>Китай</t>
  </si>
  <si>
    <t>Юго-восточная Азия</t>
  </si>
  <si>
    <t>Ближний Восток</t>
  </si>
  <si>
    <t>Африка</t>
  </si>
  <si>
    <t xml:space="preserve">США, Канада </t>
  </si>
  <si>
    <t>другие страны</t>
  </si>
  <si>
    <t>Таблица 17</t>
  </si>
  <si>
    <t>Доля выручки от компаний внутри экосистемы</t>
  </si>
  <si>
    <t>1 полугодие 2025 года</t>
  </si>
  <si>
    <t>на конец 2025 года</t>
  </si>
  <si>
    <t>Комментарии, примечания</t>
  </si>
  <si>
    <t>ФИО сотрудника, заполнившего анкету</t>
  </si>
  <si>
    <t>Должность</t>
  </si>
  <si>
    <t>Руководитель отдела маркетинга</t>
  </si>
  <si>
    <t>Телефон, с кодом города</t>
  </si>
  <si>
    <t>E-mail сотрудника</t>
  </si>
  <si>
    <t>Клиентова Зоя Андреевна</t>
  </si>
  <si>
    <t>klientova@cloud4y.ru</t>
  </si>
  <si>
    <t>74952680412 доб. 433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</si>
</sst>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0.0"/>
  </numFmts>
  <fonts count="28" x14ac:knownFonts="1">
    <font>
      <sz val="10"/>
      <color theme="1"/>
      <name val="Calibri"/>
      <family val="2"/>
      <charset val="204"/>
    </font>
    <font>
      <sz val="10"/>
      <name val="Times New Roman"/>
      <family val="1"/>
      <charset val="1"/>
    </font>
    <font>
      <sz val="8"/>
      <name val="Arial"/>
      <family val="2"/>
      <charset val="1"/>
    </font>
    <font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</font>
    <font>
      <sz val="26"/>
      <color theme="0"/>
      <name val="Arial Narrow"/>
      <family val="2"/>
      <charset val="204"/>
    </font>
    <font>
      <i/>
      <sz val="12"/>
      <color theme="1"/>
      <name val="Arial Narrow"/>
      <family val="2"/>
      <charset val="204"/>
    </font>
    <font>
      <sz val="12"/>
      <color rgb="FF000000"/>
      <name val="Arial Narrow"/>
      <family val="2"/>
      <charset val="204"/>
    </font>
    <font>
      <sz val="12"/>
      <color theme="1"/>
      <name val="Calibri"/>
      <family val="2"/>
      <charset val="204"/>
    </font>
    <font>
      <sz val="12"/>
      <color theme="1"/>
      <name val="Arial Narrow"/>
      <family val="2"/>
      <charset val="204"/>
    </font>
    <font>
      <sz val="10"/>
      <name val="Calibri"/>
      <family val="2"/>
      <charset val="204"/>
    </font>
    <font>
      <b/>
      <sz val="14"/>
      <color theme="0"/>
      <name val="Arial Narrow"/>
      <family val="2"/>
      <charset val="204"/>
    </font>
    <font>
      <sz val="9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11"/>
      <color theme="0" tint="-4.9989318521683403E-2"/>
      <name val="Arial Narrow"/>
      <family val="2"/>
      <charset val="204"/>
    </font>
    <font>
      <b/>
      <sz val="9"/>
      <name val="Arial Narrow"/>
      <family val="2"/>
      <charset val="204"/>
    </font>
    <font>
      <sz val="9"/>
      <color theme="1" tint="0.49989318521683401"/>
      <name val="Arial Narrow"/>
      <family val="2"/>
      <charset val="204"/>
    </font>
    <font>
      <sz val="9"/>
      <color theme="1"/>
      <name val="Arial Narrow"/>
      <family val="2"/>
      <charset val="204"/>
    </font>
    <font>
      <sz val="9"/>
      <color theme="3"/>
      <name val="Arial Narrow"/>
      <family val="2"/>
      <charset val="204"/>
    </font>
    <font>
      <sz val="9"/>
      <color theme="1" tint="0.24988555558946501"/>
      <name val="Arial Narrow"/>
      <family val="2"/>
      <charset val="204"/>
    </font>
    <font>
      <sz val="9"/>
      <color theme="1" tint="0.3498947111423078"/>
      <name val="Arial Narrow"/>
      <family val="2"/>
      <charset val="204"/>
    </font>
    <font>
      <sz val="10"/>
      <color theme="1" tint="0.3498947111423078"/>
      <name val="Calibri"/>
      <family val="2"/>
      <charset val="204"/>
    </font>
    <font>
      <sz val="9"/>
      <color theme="3"/>
      <name val="Calibri"/>
      <family val="2"/>
      <charset val="204"/>
    </font>
    <font>
      <b/>
      <sz val="9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b/>
      <sz val="9"/>
      <color theme="0"/>
      <name val="Arial Narrow"/>
      <family val="2"/>
      <charset val="204"/>
    </font>
    <font>
      <sz val="10"/>
      <color theme="1"/>
      <name val="Calibri"/>
      <family val="2"/>
      <charset val="204"/>
    </font>
    <font>
      <u/>
      <sz val="10"/>
      <color theme="10"/>
      <name val="Calibri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theme="2" tint="-0.499984740745262"/>
        <bgColor rgb="FF7F7F7F"/>
      </patternFill>
    </fill>
    <fill>
      <patternFill patternType="solid">
        <fgColor theme="2"/>
        <bgColor rgb="FFF2F2F2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0" tint="-4.9989318521683403E-2"/>
        <bgColor rgb="FFEEECE1"/>
      </patternFill>
    </fill>
    <fill>
      <patternFill patternType="solid">
        <fgColor theme="0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0" tint="-0.14999847407452621"/>
        <bgColor rgb="FFDDD9C3"/>
      </patternFill>
    </fill>
    <fill>
      <patternFill patternType="solid">
        <fgColor theme="0" tint="-0.249977111117893"/>
        <bgColor rgb="FFC4BD97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">
    <xf numFmtId="0" fontId="0" fillId="0" borderId="0"/>
    <xf numFmtId="9" fontId="26" fillId="0" borderId="0"/>
    <xf numFmtId="0" fontId="1" fillId="2" borderId="1">
      <protection locked="0"/>
    </xf>
    <xf numFmtId="0" fontId="2" fillId="0" borderId="0"/>
    <xf numFmtId="0" fontId="26" fillId="0" borderId="0"/>
    <xf numFmtId="0" fontId="3" fillId="0" borderId="0"/>
    <xf numFmtId="0" fontId="4" fillId="0" borderId="0"/>
    <xf numFmtId="9" fontId="26" fillId="0" borderId="0"/>
    <xf numFmtId="0" fontId="27" fillId="0" borderId="0" applyNumberFormat="0" applyFill="0" applyBorder="0" applyAlignment="0" applyProtection="0"/>
  </cellStyleXfs>
  <cellXfs count="102">
    <xf numFmtId="0" fontId="0" fillId="0" borderId="0" xfId="0"/>
    <xf numFmtId="165" fontId="18" fillId="7" borderId="10" xfId="1" applyNumberFormat="1" applyFont="1" applyFill="1" applyBorder="1" applyAlignment="1" applyProtection="1">
      <alignment horizontal="center" vertical="center"/>
      <protection locked="0" hidden="1"/>
    </xf>
    <xf numFmtId="0" fontId="13" fillId="9" borderId="15" xfId="3" applyFont="1" applyFill="1" applyBorder="1" applyAlignment="1" applyProtection="1">
      <alignment horizontal="center" vertical="center" wrapText="1" shrinkToFit="1"/>
      <protection hidden="1"/>
    </xf>
    <xf numFmtId="0" fontId="12" fillId="7" borderId="10" xfId="3" applyFont="1" applyFill="1" applyBorder="1" applyAlignment="1" applyProtection="1">
      <alignment horizontal="center" vertical="center"/>
      <protection locked="0" hidden="1"/>
    </xf>
    <xf numFmtId="0" fontId="12" fillId="5" borderId="10" xfId="3" applyFont="1" applyFill="1" applyBorder="1" applyAlignment="1" applyProtection="1">
      <alignment horizontal="center" vertical="center"/>
      <protection hidden="1"/>
    </xf>
    <xf numFmtId="0" fontId="13" fillId="9" borderId="10" xfId="3" applyFont="1" applyFill="1" applyBorder="1" applyAlignment="1" applyProtection="1">
      <alignment horizontal="center" vertical="center" wrapText="1"/>
      <protection hidden="1"/>
    </xf>
    <xf numFmtId="0" fontId="16" fillId="6" borderId="14" xfId="3" applyFont="1" applyFill="1" applyBorder="1" applyAlignment="1" applyProtection="1">
      <alignment horizontal="left" vertical="center"/>
      <protection hidden="1"/>
    </xf>
    <xf numFmtId="0" fontId="19" fillId="10" borderId="10" xfId="3" applyFont="1" applyFill="1" applyBorder="1" applyAlignment="1" applyProtection="1">
      <alignment horizontal="right" vertical="center"/>
      <protection hidden="1"/>
    </xf>
    <xf numFmtId="0" fontId="12" fillId="5" borderId="10" xfId="3" applyFont="1" applyFill="1" applyBorder="1" applyAlignment="1" applyProtection="1">
      <alignment horizontal="left" vertical="center"/>
      <protection hidden="1"/>
    </xf>
    <xf numFmtId="0" fontId="13" fillId="9" borderId="10" xfId="3" applyFont="1" applyFill="1" applyBorder="1" applyAlignment="1" applyProtection="1">
      <alignment horizontal="left" vertical="center" wrapText="1" shrinkToFit="1"/>
      <protection hidden="1"/>
    </xf>
    <xf numFmtId="0" fontId="16" fillId="6" borderId="1" xfId="3" applyFont="1" applyFill="1" applyBorder="1" applyAlignment="1" applyProtection="1">
      <alignment horizontal="left" vertical="center"/>
      <protection hidden="1"/>
    </xf>
    <xf numFmtId="0" fontId="15" fillId="6" borderId="11" xfId="3" applyFont="1" applyFill="1" applyBorder="1" applyAlignment="1" applyProtection="1">
      <alignment horizontal="center" vertical="center" wrapText="1"/>
      <protection hidden="1"/>
    </xf>
    <xf numFmtId="0" fontId="13" fillId="7" borderId="10" xfId="0" applyFont="1" applyFill="1" applyBorder="1" applyAlignment="1" applyProtection="1">
      <alignment horizontal="center" vertical="center"/>
      <protection locked="0" hidden="1"/>
    </xf>
    <xf numFmtId="0" fontId="12" fillId="6" borderId="0" xfId="3" applyFont="1" applyFill="1" applyBorder="1" applyAlignment="1" applyProtection="1">
      <alignment horizontal="right" vertical="center"/>
      <protection hidden="1"/>
    </xf>
    <xf numFmtId="0" fontId="11" fillId="8" borderId="6" xfId="3" applyFont="1" applyFill="1" applyBorder="1" applyAlignment="1" applyProtection="1">
      <alignment horizontal="center" vertical="center" wrapText="1"/>
      <protection hidden="1"/>
    </xf>
    <xf numFmtId="0" fontId="5" fillId="3" borderId="2" xfId="0" applyFont="1" applyFill="1" applyBorder="1"/>
    <xf numFmtId="0" fontId="6" fillId="4" borderId="3" xfId="0" applyFont="1" applyFill="1" applyBorder="1" applyAlignment="1">
      <alignment vertical="top" wrapText="1"/>
    </xf>
    <xf numFmtId="0" fontId="6" fillId="4" borderId="4" xfId="0" applyFont="1" applyFill="1" applyBorder="1" applyAlignment="1">
      <alignment vertical="top" wrapText="1"/>
    </xf>
    <xf numFmtId="0" fontId="7" fillId="5" borderId="5" xfId="0" applyFont="1" applyFill="1" applyBorder="1" applyAlignment="1">
      <alignment horizontal="left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indent="5"/>
    </xf>
    <xf numFmtId="0" fontId="8" fillId="6" borderId="0" xfId="0" applyFont="1" applyFill="1"/>
    <xf numFmtId="0" fontId="3" fillId="0" borderId="0" xfId="0" applyFont="1" applyAlignment="1">
      <alignment vertical="center"/>
    </xf>
    <xf numFmtId="0" fontId="9" fillId="7" borderId="4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horizontal="left" vertical="center" wrapText="1"/>
    </xf>
    <xf numFmtId="0" fontId="9" fillId="4" borderId="0" xfId="0" applyFont="1" applyFill="1" applyAlignment="1">
      <alignment horizontal="left" vertical="center" wrapText="1"/>
    </xf>
    <xf numFmtId="0" fontId="10" fillId="0" borderId="0" xfId="0" applyFont="1"/>
    <xf numFmtId="0" fontId="11" fillId="8" borderId="7" xfId="3" applyFont="1" applyFill="1" applyBorder="1" applyAlignment="1" applyProtection="1">
      <alignment vertical="center" wrapText="1"/>
      <protection hidden="1"/>
    </xf>
    <xf numFmtId="0" fontId="11" fillId="8" borderId="8" xfId="3" applyFont="1" applyFill="1" applyBorder="1" applyAlignment="1" applyProtection="1">
      <alignment vertical="center" wrapText="1"/>
      <protection hidden="1"/>
    </xf>
    <xf numFmtId="0" fontId="12" fillId="6" borderId="9" xfId="3" applyFont="1" applyFill="1" applyBorder="1" applyAlignment="1" applyProtection="1">
      <alignment vertical="center"/>
      <protection hidden="1"/>
    </xf>
    <xf numFmtId="0" fontId="12" fillId="6" borderId="0" xfId="3" applyFont="1" applyFill="1" applyAlignment="1" applyProtection="1">
      <alignment vertical="center"/>
      <protection hidden="1"/>
    </xf>
    <xf numFmtId="0" fontId="14" fillId="0" borderId="0" xfId="0" applyFont="1" applyProtection="1">
      <protection hidden="1"/>
    </xf>
    <xf numFmtId="0" fontId="15" fillId="6" borderId="11" xfId="3" applyFont="1" applyFill="1" applyBorder="1" applyAlignment="1" applyProtection="1">
      <alignment vertical="center" wrapText="1"/>
      <protection hidden="1"/>
    </xf>
    <xf numFmtId="0" fontId="16" fillId="6" borderId="0" xfId="3" applyFont="1" applyFill="1" applyAlignment="1" applyProtection="1">
      <alignment horizontal="left" vertical="center"/>
      <protection hidden="1"/>
    </xf>
    <xf numFmtId="0" fontId="16" fillId="6" borderId="0" xfId="3" applyFont="1" applyFill="1" applyAlignment="1" applyProtection="1">
      <alignment horizontal="center" vertical="center"/>
      <protection hidden="1"/>
    </xf>
    <xf numFmtId="0" fontId="13" fillId="9" borderId="12" xfId="3" applyFont="1" applyFill="1" applyBorder="1" applyAlignment="1" applyProtection="1">
      <alignment horizontal="left" vertical="center" wrapText="1" shrinkToFit="1"/>
      <protection hidden="1"/>
    </xf>
    <xf numFmtId="0" fontId="17" fillId="9" borderId="10" xfId="3" applyFont="1" applyFill="1" applyBorder="1" applyAlignment="1" applyProtection="1">
      <alignment horizontal="center" vertical="center" wrapText="1" shrinkToFit="1"/>
      <protection hidden="1"/>
    </xf>
    <xf numFmtId="0" fontId="15" fillId="6" borderId="0" xfId="3" applyFont="1" applyFill="1" applyAlignment="1" applyProtection="1">
      <alignment vertical="center" wrapText="1"/>
      <protection hidden="1"/>
    </xf>
    <xf numFmtId="0" fontId="10" fillId="6" borderId="0" xfId="0" applyFont="1" applyFill="1"/>
    <xf numFmtId="0" fontId="12" fillId="10" borderId="10" xfId="3" applyFont="1" applyFill="1" applyBorder="1" applyAlignment="1" applyProtection="1">
      <alignment horizontal="left" vertical="center"/>
      <protection hidden="1"/>
    </xf>
    <xf numFmtId="164" fontId="18" fillId="10" borderId="10" xfId="0" applyNumberFormat="1" applyFont="1" applyFill="1" applyBorder="1" applyAlignment="1" applyProtection="1">
      <alignment horizontal="right" vertical="center"/>
      <protection hidden="1"/>
    </xf>
    <xf numFmtId="165" fontId="18" fillId="11" borderId="10" xfId="1" applyNumberFormat="1" applyFont="1" applyFill="1" applyBorder="1" applyAlignment="1" applyProtection="1">
      <alignment horizontal="right" vertical="center"/>
      <protection hidden="1"/>
    </xf>
    <xf numFmtId="3" fontId="18" fillId="7" borderId="10" xfId="0" applyNumberFormat="1" applyFont="1" applyFill="1" applyBorder="1" applyAlignment="1" applyProtection="1">
      <alignment horizontal="right" vertical="center"/>
      <protection hidden="1"/>
    </xf>
    <xf numFmtId="3" fontId="18" fillId="6" borderId="10" xfId="0" applyNumberFormat="1" applyFont="1" applyFill="1" applyBorder="1" applyAlignment="1" applyProtection="1">
      <alignment horizontal="right" vertical="center"/>
      <protection hidden="1"/>
    </xf>
    <xf numFmtId="0" fontId="12" fillId="5" borderId="13" xfId="3" applyFont="1" applyFill="1" applyBorder="1" applyAlignment="1" applyProtection="1">
      <alignment horizontal="left" vertical="center"/>
      <protection hidden="1"/>
    </xf>
    <xf numFmtId="0" fontId="12" fillId="5" borderId="14" xfId="3" applyFont="1" applyFill="1" applyBorder="1" applyAlignment="1" applyProtection="1">
      <alignment horizontal="left" vertical="center"/>
      <protection hidden="1"/>
    </xf>
    <xf numFmtId="0" fontId="12" fillId="5" borderId="12" xfId="3" applyFont="1" applyFill="1" applyBorder="1" applyAlignment="1" applyProtection="1">
      <alignment horizontal="left" vertical="center"/>
      <protection hidden="1"/>
    </xf>
    <xf numFmtId="0" fontId="12" fillId="10" borderId="12" xfId="3" applyFont="1" applyFill="1" applyBorder="1" applyAlignment="1" applyProtection="1">
      <alignment horizontal="left" vertical="center"/>
      <protection hidden="1"/>
    </xf>
    <xf numFmtId="0" fontId="19" fillId="10" borderId="10" xfId="3" applyFont="1" applyFill="1" applyBorder="1" applyAlignment="1" applyProtection="1">
      <alignment horizontal="right" vertical="center"/>
      <protection hidden="1"/>
    </xf>
    <xf numFmtId="166" fontId="19" fillId="11" borderId="10" xfId="3" applyNumberFormat="1" applyFont="1" applyFill="1" applyBorder="1" applyAlignment="1" applyProtection="1">
      <alignment horizontal="right" vertical="center"/>
      <protection hidden="1"/>
    </xf>
    <xf numFmtId="165" fontId="17" fillId="11" borderId="10" xfId="1" applyNumberFormat="1" applyFont="1" applyFill="1" applyBorder="1" applyAlignment="1" applyProtection="1">
      <alignment horizontal="right" vertical="center"/>
      <protection hidden="1"/>
    </xf>
    <xf numFmtId="0" fontId="0" fillId="6" borderId="0" xfId="0" applyFont="1" applyFill="1"/>
    <xf numFmtId="0" fontId="12" fillId="7" borderId="12" xfId="3" applyFont="1" applyFill="1" applyBorder="1" applyAlignment="1" applyProtection="1">
      <alignment horizontal="left" vertical="center"/>
      <protection locked="0" hidden="1"/>
    </xf>
    <xf numFmtId="164" fontId="18" fillId="7" borderId="10" xfId="0" applyNumberFormat="1" applyFont="1" applyFill="1" applyBorder="1" applyAlignment="1" applyProtection="1">
      <alignment horizontal="right" vertical="center"/>
      <protection locked="0" hidden="1"/>
    </xf>
    <xf numFmtId="164" fontId="18" fillId="6" borderId="10" xfId="0" applyNumberFormat="1" applyFont="1" applyFill="1" applyBorder="1" applyAlignment="1" applyProtection="1">
      <alignment horizontal="right" vertical="center"/>
      <protection locked="0" hidden="1"/>
    </xf>
    <xf numFmtId="0" fontId="12" fillId="6" borderId="0" xfId="3" applyFont="1" applyFill="1" applyAlignment="1" applyProtection="1">
      <alignment vertical="center"/>
      <protection locked="0" hidden="1"/>
    </xf>
    <xf numFmtId="165" fontId="18" fillId="10" borderId="10" xfId="1" applyNumberFormat="1" applyFont="1" applyFill="1" applyBorder="1" applyAlignment="1" applyProtection="1">
      <alignment horizontal="right" vertical="center"/>
      <protection locked="0" hidden="1"/>
    </xf>
    <xf numFmtId="3" fontId="18" fillId="7" borderId="10" xfId="0" applyNumberFormat="1" applyFont="1" applyFill="1" applyBorder="1" applyAlignment="1" applyProtection="1">
      <alignment horizontal="right" vertical="center"/>
      <protection locked="0" hidden="1"/>
    </xf>
    <xf numFmtId="3" fontId="18" fillId="6" borderId="10" xfId="0" applyNumberFormat="1" applyFont="1" applyFill="1" applyBorder="1" applyAlignment="1" applyProtection="1">
      <alignment horizontal="right" vertical="center"/>
      <protection locked="0" hidden="1"/>
    </xf>
    <xf numFmtId="0" fontId="12" fillId="7" borderId="10" xfId="3" applyFont="1" applyFill="1" applyBorder="1" applyAlignment="1" applyProtection="1">
      <alignment horizontal="center" vertical="center"/>
      <protection locked="0" hidden="1"/>
    </xf>
    <xf numFmtId="0" fontId="19" fillId="10" borderId="12" xfId="3" applyFont="1" applyFill="1" applyBorder="1" applyAlignment="1" applyProtection="1">
      <alignment horizontal="right" vertical="center"/>
      <protection hidden="1"/>
    </xf>
    <xf numFmtId="166" fontId="19" fillId="10" borderId="10" xfId="3" applyNumberFormat="1" applyFont="1" applyFill="1" applyBorder="1" applyAlignment="1" applyProtection="1">
      <alignment horizontal="right" vertical="center"/>
      <protection hidden="1"/>
    </xf>
    <xf numFmtId="3" fontId="18" fillId="10" borderId="10" xfId="0" applyNumberFormat="1" applyFont="1" applyFill="1" applyBorder="1" applyAlignment="1" applyProtection="1">
      <alignment horizontal="right" vertical="center"/>
      <protection hidden="1"/>
    </xf>
    <xf numFmtId="0" fontId="12" fillId="6" borderId="0" xfId="3" applyFont="1" applyFill="1" applyAlignment="1" applyProtection="1">
      <alignment horizontal="center" vertical="center"/>
      <protection hidden="1"/>
    </xf>
    <xf numFmtId="0" fontId="12" fillId="7" borderId="12" xfId="3" applyFont="1" applyFill="1" applyBorder="1" applyAlignment="1" applyProtection="1">
      <alignment horizontal="center" vertical="center"/>
      <protection locked="0" hidden="1"/>
    </xf>
    <xf numFmtId="0" fontId="16" fillId="6" borderId="0" xfId="3" applyFont="1" applyFill="1" applyAlignment="1" applyProtection="1">
      <alignment vertical="center"/>
      <protection hidden="1"/>
    </xf>
    <xf numFmtId="0" fontId="13" fillId="9" borderId="15" xfId="3" applyFont="1" applyFill="1" applyBorder="1" applyAlignment="1" applyProtection="1">
      <alignment horizontal="center" vertical="center" wrapText="1"/>
      <protection hidden="1"/>
    </xf>
    <xf numFmtId="0" fontId="15" fillId="6" borderId="0" xfId="3" applyFont="1" applyFill="1" applyAlignment="1" applyProtection="1">
      <alignment horizontal="center" vertical="center" wrapText="1"/>
      <protection hidden="1"/>
    </xf>
    <xf numFmtId="165" fontId="18" fillId="7" borderId="10" xfId="1" applyNumberFormat="1" applyFont="1" applyFill="1" applyBorder="1" applyAlignment="1" applyProtection="1">
      <alignment horizontal="right" vertical="center"/>
      <protection locked="0" hidden="1"/>
    </xf>
    <xf numFmtId="165" fontId="18" fillId="6" borderId="10" xfId="1" applyNumberFormat="1" applyFont="1" applyFill="1" applyBorder="1" applyAlignment="1" applyProtection="1">
      <alignment horizontal="right" vertical="center"/>
      <protection locked="0" hidden="1"/>
    </xf>
    <xf numFmtId="165" fontId="18" fillId="7" borderId="10" xfId="1" applyNumberFormat="1" applyFont="1" applyFill="1" applyBorder="1" applyAlignment="1" applyProtection="1">
      <alignment horizontal="center" vertical="center"/>
      <protection locked="0" hidden="1"/>
    </xf>
    <xf numFmtId="165" fontId="12" fillId="10" borderId="10" xfId="3" applyNumberFormat="1" applyFont="1" applyFill="1" applyBorder="1" applyAlignment="1" applyProtection="1">
      <alignment vertical="center"/>
      <protection hidden="1"/>
    </xf>
    <xf numFmtId="3" fontId="19" fillId="10" borderId="10" xfId="3" applyNumberFormat="1" applyFont="1" applyFill="1" applyBorder="1" applyAlignment="1" applyProtection="1">
      <alignment horizontal="right" vertical="center"/>
      <protection hidden="1"/>
    </xf>
    <xf numFmtId="0" fontId="16" fillId="6" borderId="0" xfId="0" applyFont="1" applyFill="1"/>
    <xf numFmtId="0" fontId="17" fillId="9" borderId="10" xfId="3" applyFont="1" applyFill="1" applyBorder="1" applyAlignment="1" applyProtection="1">
      <alignment horizontal="center" vertical="center" wrapText="1"/>
      <protection hidden="1"/>
    </xf>
    <xf numFmtId="0" fontId="20" fillId="10" borderId="13" xfId="3" applyFont="1" applyFill="1" applyBorder="1" applyAlignment="1" applyProtection="1">
      <alignment vertical="center"/>
      <protection hidden="1"/>
    </xf>
    <xf numFmtId="0" fontId="20" fillId="10" borderId="14" xfId="3" applyFont="1" applyFill="1" applyBorder="1" applyAlignment="1" applyProtection="1">
      <alignment vertical="center"/>
      <protection hidden="1"/>
    </xf>
    <xf numFmtId="165" fontId="19" fillId="10" borderId="10" xfId="1" applyNumberFormat="1" applyFont="1" applyFill="1" applyBorder="1" applyAlignment="1" applyProtection="1">
      <alignment horizontal="right" vertical="center" shrinkToFit="1"/>
      <protection hidden="1"/>
    </xf>
    <xf numFmtId="0" fontId="17" fillId="9" borderId="15" xfId="3" applyFont="1" applyFill="1" applyBorder="1" applyAlignment="1" applyProtection="1">
      <alignment horizontal="center" vertical="center" wrapText="1" shrinkToFit="1"/>
      <protection hidden="1"/>
    </xf>
    <xf numFmtId="0" fontId="13" fillId="9" borderId="16" xfId="3" applyFont="1" applyFill="1" applyBorder="1" applyAlignment="1" applyProtection="1">
      <alignment horizontal="center" vertical="center" wrapText="1"/>
      <protection hidden="1"/>
    </xf>
    <xf numFmtId="9" fontId="17" fillId="9" borderId="15" xfId="1" applyFont="1" applyFill="1" applyBorder="1" applyAlignment="1" applyProtection="1">
      <alignment horizontal="center" vertical="center" wrapText="1"/>
      <protection hidden="1"/>
    </xf>
    <xf numFmtId="0" fontId="17" fillId="9" borderId="15" xfId="3" applyFont="1" applyFill="1" applyBorder="1" applyAlignment="1" applyProtection="1">
      <alignment horizontal="center" vertical="center" wrapText="1"/>
      <protection hidden="1"/>
    </xf>
    <xf numFmtId="165" fontId="18" fillId="0" borderId="10" xfId="0" applyNumberFormat="1" applyFont="1" applyBorder="1" applyProtection="1">
      <protection locked="0" hidden="1"/>
    </xf>
    <xf numFmtId="0" fontId="22" fillId="0" borderId="10" xfId="0" applyFont="1" applyBorder="1"/>
    <xf numFmtId="0" fontId="23" fillId="6" borderId="0" xfId="0" applyFont="1" applyFill="1"/>
    <xf numFmtId="0" fontId="17" fillId="7" borderId="10" xfId="3" applyFont="1" applyFill="1" applyBorder="1" applyAlignment="1" applyProtection="1">
      <alignment horizontal="center" vertical="top" wrapText="1"/>
      <protection hidden="1"/>
    </xf>
    <xf numFmtId="0" fontId="17" fillId="9" borderId="10" xfId="3" applyFont="1" applyFill="1" applyBorder="1" applyAlignment="1" applyProtection="1">
      <alignment horizontal="center" vertical="center" wrapText="1"/>
      <protection hidden="1"/>
    </xf>
    <xf numFmtId="9" fontId="0" fillId="0" borderId="10" xfId="1" applyFont="1" applyBorder="1" applyAlignment="1">
      <alignment horizontal="center"/>
    </xf>
    <xf numFmtId="0" fontId="12" fillId="7" borderId="10" xfId="3" applyFont="1" applyFill="1" applyBorder="1" applyAlignment="1" applyProtection="1">
      <alignment horizontal="center" vertical="center"/>
      <protection hidden="1"/>
    </xf>
    <xf numFmtId="9" fontId="21" fillId="10" borderId="10" xfId="1" applyFont="1" applyFill="1" applyBorder="1" applyAlignment="1">
      <alignment horizontal="center"/>
    </xf>
    <xf numFmtId="0" fontId="12" fillId="5" borderId="13" xfId="3" applyFont="1" applyFill="1" applyBorder="1" applyAlignment="1" applyProtection="1">
      <alignment horizontal="left" vertical="center"/>
      <protection hidden="1"/>
    </xf>
    <xf numFmtId="0" fontId="19" fillId="10" borderId="13" xfId="3" applyFont="1" applyFill="1" applyBorder="1" applyAlignment="1" applyProtection="1">
      <alignment horizontal="right" vertical="center"/>
      <protection hidden="1"/>
    </xf>
    <xf numFmtId="0" fontId="13" fillId="9" borderId="13" xfId="3" applyFont="1" applyFill="1" applyBorder="1" applyAlignment="1" applyProtection="1">
      <alignment horizontal="center" vertical="center" wrapText="1"/>
      <protection hidden="1"/>
    </xf>
    <xf numFmtId="0" fontId="12" fillId="5" borderId="10" xfId="3" applyFont="1" applyFill="1" applyBorder="1" applyAlignment="1" applyProtection="1">
      <alignment horizontal="center" vertical="center" wrapText="1"/>
      <protection hidden="1"/>
    </xf>
    <xf numFmtId="0" fontId="17" fillId="7" borderId="10" xfId="0" applyFont="1" applyFill="1" applyBorder="1" applyAlignment="1" applyProtection="1">
      <alignment horizontal="center" vertical="center" wrapText="1"/>
      <protection locked="0"/>
    </xf>
    <xf numFmtId="0" fontId="17" fillId="6" borderId="0" xfId="0" applyFont="1" applyFill="1" applyBorder="1" applyAlignment="1" applyProtection="1">
      <alignment horizontal="right" vertical="center"/>
      <protection hidden="1"/>
    </xf>
    <xf numFmtId="0" fontId="17" fillId="6" borderId="0" xfId="0" applyFont="1" applyFill="1" applyBorder="1" applyAlignment="1">
      <alignment horizontal="left" vertical="center"/>
    </xf>
    <xf numFmtId="0" fontId="15" fillId="5" borderId="10" xfId="3" applyFont="1" applyFill="1" applyBorder="1" applyAlignment="1" applyProtection="1">
      <alignment horizontal="left" vertical="center"/>
      <protection hidden="1"/>
    </xf>
    <xf numFmtId="0" fontId="24" fillId="6" borderId="0" xfId="0" applyFont="1" applyFill="1" applyBorder="1" applyAlignment="1">
      <alignment horizontal="left" vertical="top"/>
    </xf>
    <xf numFmtId="0" fontId="25" fillId="8" borderId="9" xfId="3" applyFont="1" applyFill="1" applyBorder="1" applyAlignment="1" applyProtection="1">
      <alignment horizontal="center" vertical="center" wrapText="1"/>
      <protection hidden="1"/>
    </xf>
    <xf numFmtId="0" fontId="27" fillId="7" borderId="10" xfId="8" applyFill="1" applyBorder="1" applyAlignment="1" applyProtection="1">
      <alignment horizontal="center" vertical="center"/>
      <protection locked="0" hidden="1"/>
    </xf>
  </cellXfs>
  <cellStyles count="9">
    <cellStyle name="Answer 2 2" xfId="2" xr:uid="{00000000-0005-0000-0000-000006000000}"/>
    <cellStyle name="Гиперссылка" xfId="8" builtinId="8"/>
    <cellStyle name="Обычный" xfId="0" builtinId="0"/>
    <cellStyle name="Обычный 2" xfId="3" xr:uid="{00000000-0005-0000-0000-000007000000}"/>
    <cellStyle name="Обычный 3" xfId="4" xr:uid="{00000000-0005-0000-0000-000008000000}"/>
    <cellStyle name="Обычный 4" xfId="5" xr:uid="{00000000-0005-0000-0000-000009000000}"/>
    <cellStyle name="Обычный 5" xfId="6" xr:uid="{00000000-0005-0000-0000-00000A000000}"/>
    <cellStyle name="Процентный" xfId="1" builtinId="5"/>
    <cellStyle name="Процентный 2" xfId="7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C4BD97"/>
      <rgbColor rgb="FFFF99CC"/>
      <rgbColor rgb="FFCC99FF"/>
      <rgbColor rgb="FFDDD9C3"/>
      <rgbColor rgb="FF3366FF"/>
      <rgbColor rgb="FF33CCCC"/>
      <rgbColor rgb="FF99CC00"/>
      <rgbColor rgb="FFFFCC00"/>
      <rgbColor rgb="FFFF9900"/>
      <rgbColor rgb="FFFF6600"/>
      <rgbColor rgb="FF595959"/>
      <rgbColor rgb="FF948A54"/>
      <rgbColor rgb="FF003366"/>
      <rgbColor rgb="FF339966"/>
      <rgbColor rgb="FF003300"/>
      <rgbColor rgb="FF333300"/>
      <rgbColor rgb="FF993300"/>
      <rgbColor rgb="FF993366"/>
      <rgbColor rgb="FF1F497D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lientova@cloud4y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3"/>
  <sheetViews>
    <sheetView topLeftCell="A31" zoomScaleNormal="100" workbookViewId="0">
      <selection activeCell="A56" sqref="A56"/>
    </sheetView>
  </sheetViews>
  <sheetFormatPr defaultColWidth="0" defaultRowHeight="12.75" x14ac:dyDescent="0.2"/>
  <cols>
    <col min="1" max="1" width="113.42578125" customWidth="1"/>
    <col min="2" max="16384" width="9.140625" hidden="1"/>
  </cols>
  <sheetData>
    <row r="1" spans="1:1" ht="33" customHeight="1" x14ac:dyDescent="0.5">
      <c r="A1" s="15" t="s">
        <v>0</v>
      </c>
    </row>
    <row r="2" spans="1:1" ht="23.25" customHeight="1" x14ac:dyDescent="0.2">
      <c r="A2" s="16" t="s">
        <v>1</v>
      </c>
    </row>
    <row r="3" spans="1:1" ht="92.25" customHeight="1" x14ac:dyDescent="0.2">
      <c r="A3" s="17" t="s">
        <v>2</v>
      </c>
    </row>
    <row r="4" spans="1:1" ht="32.25" customHeight="1" x14ac:dyDescent="0.2">
      <c r="A4" s="17" t="s">
        <v>3</v>
      </c>
    </row>
    <row r="5" spans="1:1" ht="101.25" customHeight="1" x14ac:dyDescent="0.2">
      <c r="A5" s="17" t="s">
        <v>4</v>
      </c>
    </row>
    <row r="6" spans="1:1" ht="78.75" customHeight="1" x14ac:dyDescent="0.2">
      <c r="A6" s="17" t="s">
        <v>5</v>
      </c>
    </row>
    <row r="7" spans="1:1" ht="18" customHeight="1" x14ac:dyDescent="0.2">
      <c r="A7" s="17"/>
    </row>
    <row r="8" spans="1:1" ht="15" customHeight="1" x14ac:dyDescent="0.2">
      <c r="A8" s="17" t="s">
        <v>6</v>
      </c>
    </row>
    <row r="9" spans="1:1" ht="206.25" customHeight="1" x14ac:dyDescent="0.2">
      <c r="A9" s="18" t="s">
        <v>7</v>
      </c>
    </row>
    <row r="10" spans="1:1" ht="140.25" customHeight="1" x14ac:dyDescent="0.2">
      <c r="A10" s="18" t="s">
        <v>8</v>
      </c>
    </row>
    <row r="11" spans="1:1" ht="63.75" customHeight="1" x14ac:dyDescent="0.2">
      <c r="A11" s="19" t="s">
        <v>9</v>
      </c>
    </row>
    <row r="12" spans="1:1" ht="30.75" customHeight="1" x14ac:dyDescent="0.2">
      <c r="A12" s="18" t="s">
        <v>10</v>
      </c>
    </row>
    <row r="13" spans="1:1" ht="14.25" customHeight="1" x14ac:dyDescent="0.2">
      <c r="A13" s="20" t="s">
        <v>11</v>
      </c>
    </row>
    <row r="14" spans="1:1" ht="14.25" customHeight="1" x14ac:dyDescent="0.2">
      <c r="A14" s="20" t="s">
        <v>12</v>
      </c>
    </row>
    <row r="15" spans="1:1" ht="14.25" customHeight="1" x14ac:dyDescent="0.2">
      <c r="A15" s="20" t="s">
        <v>13</v>
      </c>
    </row>
    <row r="16" spans="1:1" ht="14.25" customHeight="1" x14ac:dyDescent="0.2">
      <c r="A16" s="20" t="s">
        <v>14</v>
      </c>
    </row>
    <row r="17" spans="1:1" ht="14.25" customHeight="1" x14ac:dyDescent="0.2">
      <c r="A17" s="20" t="s">
        <v>15</v>
      </c>
    </row>
    <row r="18" spans="1:1" ht="14.25" customHeight="1" x14ac:dyDescent="0.2">
      <c r="A18" s="20" t="s">
        <v>16</v>
      </c>
    </row>
    <row r="19" spans="1:1" ht="14.25" customHeight="1" x14ac:dyDescent="0.2">
      <c r="A19" s="20" t="s">
        <v>17</v>
      </c>
    </row>
    <row r="20" spans="1:1" ht="14.25" customHeight="1" x14ac:dyDescent="0.2">
      <c r="A20" s="20" t="s">
        <v>18</v>
      </c>
    </row>
    <row r="21" spans="1:1" ht="15" customHeight="1" x14ac:dyDescent="0.25">
      <c r="A21" s="21"/>
    </row>
    <row r="22" spans="1:1" ht="30.75" customHeight="1" x14ac:dyDescent="0.2">
      <c r="A22" s="18" t="s">
        <v>19</v>
      </c>
    </row>
    <row r="23" spans="1:1" ht="14.25" customHeight="1" x14ac:dyDescent="0.2">
      <c r="A23" s="22" t="s">
        <v>20</v>
      </c>
    </row>
    <row r="24" spans="1:1" ht="14.25" customHeight="1" x14ac:dyDescent="0.2">
      <c r="A24" s="20" t="s">
        <v>21</v>
      </c>
    </row>
    <row r="25" spans="1:1" ht="14.25" customHeight="1" x14ac:dyDescent="0.2">
      <c r="A25" s="20" t="s">
        <v>22</v>
      </c>
    </row>
    <row r="26" spans="1:1" ht="14.25" customHeight="1" x14ac:dyDescent="0.2">
      <c r="A26" s="20" t="s">
        <v>23</v>
      </c>
    </row>
    <row r="27" spans="1:1" ht="14.25" customHeight="1" x14ac:dyDescent="0.2">
      <c r="A27" s="20" t="s">
        <v>24</v>
      </c>
    </row>
    <row r="28" spans="1:1" ht="14.25" customHeight="1" x14ac:dyDescent="0.2">
      <c r="A28" s="20" t="s">
        <v>25</v>
      </c>
    </row>
    <row r="29" spans="1:1" ht="14.25" customHeight="1" x14ac:dyDescent="0.2">
      <c r="A29" s="20" t="s">
        <v>26</v>
      </c>
    </row>
    <row r="30" spans="1:1" ht="14.25" customHeight="1" x14ac:dyDescent="0.2">
      <c r="A30" s="20" t="s">
        <v>27</v>
      </c>
    </row>
    <row r="31" spans="1:1" ht="14.25" customHeight="1" x14ac:dyDescent="0.2">
      <c r="A31" s="20" t="s">
        <v>28</v>
      </c>
    </row>
    <row r="32" spans="1:1" ht="14.25" customHeight="1" x14ac:dyDescent="0.2">
      <c r="A32" s="22" t="s">
        <v>29</v>
      </c>
    </row>
    <row r="33" spans="1:1" ht="14.25" customHeight="1" x14ac:dyDescent="0.2">
      <c r="A33" s="20" t="s">
        <v>30</v>
      </c>
    </row>
    <row r="34" spans="1:1" ht="14.25" customHeight="1" x14ac:dyDescent="0.2">
      <c r="A34" s="20" t="s">
        <v>31</v>
      </c>
    </row>
    <row r="35" spans="1:1" ht="14.25" customHeight="1" x14ac:dyDescent="0.2">
      <c r="A35" s="20" t="s">
        <v>32</v>
      </c>
    </row>
    <row r="36" spans="1:1" ht="14.25" customHeight="1" x14ac:dyDescent="0.2">
      <c r="A36" s="20" t="s">
        <v>33</v>
      </c>
    </row>
    <row r="37" spans="1:1" ht="14.25" customHeight="1" x14ac:dyDescent="0.2">
      <c r="A37" s="20" t="s">
        <v>34</v>
      </c>
    </row>
    <row r="38" spans="1:1" ht="14.25" customHeight="1" x14ac:dyDescent="0.2">
      <c r="A38" s="20" t="s">
        <v>35</v>
      </c>
    </row>
    <row r="39" spans="1:1" ht="14.25" customHeight="1" x14ac:dyDescent="0.2">
      <c r="A39" s="22" t="s">
        <v>36</v>
      </c>
    </row>
    <row r="40" spans="1:1" ht="14.25" customHeight="1" x14ac:dyDescent="0.2">
      <c r="A40" s="20" t="s">
        <v>37</v>
      </c>
    </row>
    <row r="41" spans="1:1" ht="14.25" customHeight="1" x14ac:dyDescent="0.2">
      <c r="A41" s="20" t="s">
        <v>38</v>
      </c>
    </row>
    <row r="42" spans="1:1" ht="14.25" customHeight="1" x14ac:dyDescent="0.2">
      <c r="A42" s="22" t="s">
        <v>39</v>
      </c>
    </row>
    <row r="43" spans="1:1" ht="14.25" customHeight="1" x14ac:dyDescent="0.2">
      <c r="A43" s="20" t="s">
        <v>40</v>
      </c>
    </row>
    <row r="44" spans="1:1" ht="14.25" customHeight="1" x14ac:dyDescent="0.2">
      <c r="A44" s="20" t="s">
        <v>41</v>
      </c>
    </row>
    <row r="45" spans="1:1" ht="14.25" customHeight="1" x14ac:dyDescent="0.2">
      <c r="A45" s="22" t="s">
        <v>42</v>
      </c>
    </row>
    <row r="46" spans="1:1" ht="14.25" customHeight="1" x14ac:dyDescent="0.2">
      <c r="A46" s="20" t="s">
        <v>43</v>
      </c>
    </row>
    <row r="47" spans="1:1" ht="14.25" customHeight="1" x14ac:dyDescent="0.2">
      <c r="A47" s="20" t="s">
        <v>44</v>
      </c>
    </row>
    <row r="48" spans="1:1" ht="14.25" customHeight="1" x14ac:dyDescent="0.2">
      <c r="A48" s="22" t="s">
        <v>45</v>
      </c>
    </row>
    <row r="49" spans="1:4" ht="14.25" customHeight="1" x14ac:dyDescent="0.2">
      <c r="A49" s="20" t="s">
        <v>46</v>
      </c>
    </row>
    <row r="50" spans="1:4" ht="14.25" customHeight="1" x14ac:dyDescent="0.2">
      <c r="A50" s="20" t="s">
        <v>47</v>
      </c>
    </row>
    <row r="51" spans="1:4" ht="14.25" customHeight="1" x14ac:dyDescent="0.2">
      <c r="A51" s="22" t="s">
        <v>48</v>
      </c>
    </row>
    <row r="52" spans="1:4" ht="14.25" customHeight="1" x14ac:dyDescent="0.2">
      <c r="A52" s="22" t="s">
        <v>49</v>
      </c>
    </row>
    <row r="53" spans="1:4" ht="14.25" customHeight="1" x14ac:dyDescent="0.2">
      <c r="A53" s="22" t="s">
        <v>50</v>
      </c>
    </row>
    <row r="54" spans="1:4" ht="15" customHeight="1" x14ac:dyDescent="0.2">
      <c r="A54" s="23"/>
    </row>
    <row r="55" spans="1:4" ht="46.5" customHeight="1" x14ac:dyDescent="0.2">
      <c r="A55" s="24" t="s">
        <v>51</v>
      </c>
    </row>
    <row r="56" spans="1:4" ht="15" customHeight="1" x14ac:dyDescent="0.2">
      <c r="A56" s="20" t="s">
        <v>52</v>
      </c>
      <c r="B56" s="25"/>
      <c r="C56" s="25"/>
      <c r="D56" s="25"/>
    </row>
    <row r="57" spans="1:4" ht="15" customHeight="1" x14ac:dyDescent="0.2">
      <c r="A57" s="20" t="s">
        <v>53</v>
      </c>
      <c r="B57" s="25"/>
      <c r="C57" s="25"/>
      <c r="D57" s="25"/>
    </row>
    <row r="58" spans="1:4" ht="15" customHeight="1" x14ac:dyDescent="0.2">
      <c r="A58" s="20" t="s">
        <v>54</v>
      </c>
      <c r="B58" s="25"/>
      <c r="C58" s="25"/>
      <c r="D58" s="25"/>
    </row>
    <row r="59" spans="1:4" ht="15" customHeight="1" x14ac:dyDescent="0.2">
      <c r="A59" s="20" t="s">
        <v>55</v>
      </c>
      <c r="B59" s="25"/>
      <c r="C59" s="25"/>
      <c r="D59" s="25"/>
    </row>
    <row r="60" spans="1:4" ht="15" customHeight="1" x14ac:dyDescent="0.2">
      <c r="A60" s="20" t="s">
        <v>56</v>
      </c>
      <c r="B60" s="25"/>
      <c r="C60" s="25"/>
      <c r="D60" s="25"/>
    </row>
    <row r="61" spans="1:4" ht="15" customHeight="1" x14ac:dyDescent="0.2">
      <c r="A61" s="20" t="s">
        <v>57</v>
      </c>
      <c r="B61" s="25"/>
      <c r="C61" s="25"/>
      <c r="D61" s="25"/>
    </row>
    <row r="62" spans="1:4" ht="15" customHeight="1" x14ac:dyDescent="0.2">
      <c r="A62" s="20" t="s">
        <v>58</v>
      </c>
      <c r="B62" s="25"/>
      <c r="C62" s="25"/>
      <c r="D62" s="25"/>
    </row>
    <row r="63" spans="1:4" ht="15" customHeight="1" x14ac:dyDescent="0.2">
      <c r="A63" s="20" t="s">
        <v>59</v>
      </c>
      <c r="B63" s="25"/>
      <c r="C63" s="25"/>
      <c r="D63" s="25"/>
    </row>
    <row r="64" spans="1:4" ht="15" customHeight="1" x14ac:dyDescent="0.2">
      <c r="A64" s="20" t="s">
        <v>60</v>
      </c>
      <c r="B64" s="25"/>
      <c r="C64" s="25"/>
      <c r="D64" s="25"/>
    </row>
    <row r="65" spans="1:4" ht="15" customHeight="1" x14ac:dyDescent="0.2">
      <c r="A65" s="20" t="s">
        <v>61</v>
      </c>
      <c r="B65" s="25"/>
      <c r="C65" s="25"/>
      <c r="D65" s="25"/>
    </row>
    <row r="66" spans="1:4" ht="15" customHeight="1" x14ac:dyDescent="0.2">
      <c r="A66" s="20" t="s">
        <v>62</v>
      </c>
      <c r="B66" s="25"/>
      <c r="C66" s="25"/>
      <c r="D66" s="25"/>
    </row>
    <row r="67" spans="1:4" ht="15" customHeight="1" x14ac:dyDescent="0.2">
      <c r="A67" s="20" t="s">
        <v>63</v>
      </c>
      <c r="B67" s="25"/>
      <c r="C67" s="25"/>
      <c r="D67" s="25"/>
    </row>
    <row r="68" spans="1:4" ht="15" customHeight="1" x14ac:dyDescent="0.2">
      <c r="A68" s="20" t="s">
        <v>64</v>
      </c>
      <c r="B68" s="25"/>
      <c r="C68" s="25"/>
      <c r="D68" s="25"/>
    </row>
    <row r="69" spans="1:4" ht="15" customHeight="1" x14ac:dyDescent="0.2">
      <c r="A69" s="20" t="s">
        <v>65</v>
      </c>
      <c r="B69" s="25"/>
      <c r="C69" s="25"/>
      <c r="D69" s="25"/>
    </row>
    <row r="70" spans="1:4" ht="15" customHeight="1" x14ac:dyDescent="0.2">
      <c r="A70" s="20" t="s">
        <v>66</v>
      </c>
      <c r="B70" s="25"/>
      <c r="C70" s="25"/>
      <c r="D70" s="25"/>
    </row>
    <row r="71" spans="1:4" ht="15" customHeight="1" x14ac:dyDescent="0.2">
      <c r="A71" s="25"/>
    </row>
    <row r="73" spans="1:4" ht="46.5" customHeight="1" x14ac:dyDescent="0.2">
      <c r="A73" s="26" t="s">
        <v>67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228"/>
  <sheetViews>
    <sheetView tabSelected="1" topLeftCell="A168" zoomScaleNormal="100" workbookViewId="0">
      <selection activeCell="F222" sqref="F222"/>
    </sheetView>
  </sheetViews>
  <sheetFormatPr defaultColWidth="0" defaultRowHeight="12.75" zeroHeight="1" x14ac:dyDescent="0.2"/>
  <cols>
    <col min="1" max="1" width="2.42578125" customWidth="1"/>
    <col min="2" max="3" width="9.140625" customWidth="1"/>
    <col min="4" max="4" width="14.42578125" customWidth="1"/>
    <col min="5" max="5" width="12.28515625" customWidth="1"/>
    <col min="6" max="6" width="21.42578125" customWidth="1"/>
    <col min="7" max="7" width="7.85546875" customWidth="1"/>
    <col min="8" max="11" width="6.7109375" customWidth="1"/>
    <col min="12" max="12" width="6.5703125" customWidth="1"/>
    <col min="13" max="13" width="5.42578125" customWidth="1"/>
    <col min="14" max="19" width="6.7109375" customWidth="1"/>
    <col min="20" max="20" width="4.85546875" customWidth="1"/>
    <col min="21" max="25" width="6.5703125" customWidth="1"/>
    <col min="26" max="26" width="6.28515625" customWidth="1"/>
    <col min="27" max="27" width="1.7109375" customWidth="1"/>
    <col min="28" max="34" width="12.7109375" style="27" hidden="1" customWidth="1"/>
    <col min="35" max="35" width="8.85546875" style="27" hidden="1" customWidth="1"/>
    <col min="36" max="42" width="12.7109375" style="27" hidden="1" customWidth="1"/>
    <col min="43" max="43" width="8.85546875" style="27" hidden="1" customWidth="1"/>
    <col min="44" max="61" width="12.7109375" style="27" hidden="1" customWidth="1"/>
    <col min="62" max="16384" width="5" style="27" hidden="1"/>
  </cols>
  <sheetData>
    <row r="1" spans="1:27" ht="12.75" customHeight="1" x14ac:dyDescent="0.2">
      <c r="A1" s="14" t="s">
        <v>68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8"/>
    </row>
    <row r="2" spans="1:27" ht="25.5" customHeight="1" x14ac:dyDescent="0.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29"/>
    </row>
    <row r="3" spans="1:27" ht="9" customHeight="1" x14ac:dyDescent="0.2">
      <c r="A3" s="30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 s="32" customFormat="1" ht="14.25" customHeight="1" x14ac:dyDescent="0.3">
      <c r="A4" s="30"/>
      <c r="B4" s="13" t="s">
        <v>69</v>
      </c>
      <c r="C4" s="13"/>
      <c r="D4" s="13"/>
      <c r="E4" s="12" t="s">
        <v>70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31"/>
    </row>
    <row r="5" spans="1:27" ht="6" customHeight="1" x14ac:dyDescent="0.2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2.75" customHeight="1" x14ac:dyDescent="0.2">
      <c r="A6" s="30"/>
      <c r="B6" s="13" t="s">
        <v>71</v>
      </c>
      <c r="C6" s="13"/>
      <c r="D6" s="13"/>
      <c r="E6" s="12" t="s">
        <v>72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31"/>
    </row>
    <row r="7" spans="1:27" ht="6" customHeight="1" x14ac:dyDescent="0.2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</row>
    <row r="8" spans="1:27" ht="27.75" customHeight="1" x14ac:dyDescent="0.2">
      <c r="A8" s="30"/>
      <c r="B8" s="33"/>
      <c r="C8" s="33"/>
      <c r="D8" s="33"/>
      <c r="E8" s="33"/>
      <c r="F8" s="33"/>
      <c r="G8" s="11" t="s">
        <v>73</v>
      </c>
      <c r="H8" s="11"/>
      <c r="I8" s="11"/>
      <c r="J8" s="11"/>
      <c r="K8" s="11"/>
      <c r="L8" s="11"/>
      <c r="M8" s="33"/>
      <c r="N8" s="11" t="s">
        <v>74</v>
      </c>
      <c r="O8" s="11"/>
      <c r="P8" s="11"/>
      <c r="Q8" s="11"/>
      <c r="R8" s="11"/>
      <c r="S8" s="11"/>
      <c r="T8" s="33"/>
      <c r="U8" s="11" t="s">
        <v>75</v>
      </c>
      <c r="V8" s="11"/>
      <c r="W8" s="11"/>
      <c r="X8" s="11"/>
      <c r="Y8" s="11"/>
      <c r="Z8" s="11"/>
      <c r="AA8" s="31"/>
    </row>
    <row r="9" spans="1:27" ht="14.25" customHeight="1" x14ac:dyDescent="0.2">
      <c r="A9" s="30"/>
      <c r="B9" s="10" t="s">
        <v>76</v>
      </c>
      <c r="C9" s="10"/>
      <c r="D9" s="10"/>
      <c r="E9" s="10"/>
      <c r="F9" s="34"/>
      <c r="G9" s="35" t="s">
        <v>77</v>
      </c>
      <c r="H9" s="35" t="s">
        <v>77</v>
      </c>
      <c r="I9" s="35" t="s">
        <v>77</v>
      </c>
      <c r="J9" s="35" t="s">
        <v>77</v>
      </c>
      <c r="K9" s="35" t="s">
        <v>77</v>
      </c>
      <c r="L9" s="35" t="s">
        <v>78</v>
      </c>
      <c r="M9" s="31"/>
      <c r="N9" s="35" t="s">
        <v>77</v>
      </c>
      <c r="O9" s="35" t="s">
        <v>77</v>
      </c>
      <c r="P9" s="35" t="s">
        <v>77</v>
      </c>
      <c r="Q9" s="35" t="s">
        <v>77</v>
      </c>
      <c r="R9" s="35" t="s">
        <v>77</v>
      </c>
      <c r="S9" s="35" t="s">
        <v>78</v>
      </c>
      <c r="T9" s="31"/>
      <c r="U9" s="35" t="s">
        <v>77</v>
      </c>
      <c r="V9" s="35" t="s">
        <v>77</v>
      </c>
      <c r="W9" s="35" t="s">
        <v>77</v>
      </c>
      <c r="X9" s="35" t="s">
        <v>77</v>
      </c>
      <c r="Y9" s="35" t="s">
        <v>77</v>
      </c>
      <c r="Z9" s="35" t="s">
        <v>78</v>
      </c>
      <c r="AA9" s="31"/>
    </row>
    <row r="10" spans="1:27" s="39" customFormat="1" ht="19.5" customHeight="1" x14ac:dyDescent="0.2">
      <c r="A10" s="30"/>
      <c r="B10" s="9" t="s">
        <v>79</v>
      </c>
      <c r="C10" s="9"/>
      <c r="D10" s="9"/>
      <c r="E10" s="9"/>
      <c r="F10" s="36"/>
      <c r="G10" s="37" t="s">
        <v>80</v>
      </c>
      <c r="H10" s="37" t="s">
        <v>81</v>
      </c>
      <c r="I10" s="37" t="s">
        <v>82</v>
      </c>
      <c r="J10" s="37" t="s">
        <v>83</v>
      </c>
      <c r="K10" s="37">
        <v>2025</v>
      </c>
      <c r="L10" s="37">
        <v>2026</v>
      </c>
      <c r="M10" s="38"/>
      <c r="N10" s="37" t="s">
        <v>80</v>
      </c>
      <c r="O10" s="37" t="s">
        <v>81</v>
      </c>
      <c r="P10" s="37" t="s">
        <v>82</v>
      </c>
      <c r="Q10" s="37" t="s">
        <v>83</v>
      </c>
      <c r="R10" s="37">
        <v>2025</v>
      </c>
      <c r="S10" s="37">
        <v>2026</v>
      </c>
      <c r="T10" s="38"/>
      <c r="U10" s="37" t="s">
        <v>80</v>
      </c>
      <c r="V10" s="37" t="s">
        <v>81</v>
      </c>
      <c r="W10" s="37" t="s">
        <v>82</v>
      </c>
      <c r="X10" s="37" t="s">
        <v>83</v>
      </c>
      <c r="Y10" s="37">
        <v>2025</v>
      </c>
      <c r="Z10" s="37">
        <v>2026</v>
      </c>
    </row>
    <row r="11" spans="1:27" s="39" customFormat="1" ht="14.25" customHeight="1" x14ac:dyDescent="0.2">
      <c r="A11" s="30"/>
      <c r="B11" s="8" t="s">
        <v>84</v>
      </c>
      <c r="C11" s="8"/>
      <c r="D11" s="8"/>
      <c r="E11" s="8"/>
      <c r="F11" s="40"/>
      <c r="G11" s="41">
        <f t="shared" ref="G11:L11" si="0">IF(G35&gt;0,G35,"")</f>
        <v>236.5</v>
      </c>
      <c r="H11" s="41">
        <f t="shared" si="0"/>
        <v>286.8</v>
      </c>
      <c r="I11" s="41">
        <f t="shared" si="0"/>
        <v>298.27</v>
      </c>
      <c r="J11" s="41">
        <f t="shared" si="0"/>
        <v>310.2</v>
      </c>
      <c r="K11" s="41">
        <f t="shared" si="0"/>
        <v>1131.77</v>
      </c>
      <c r="L11" s="41">
        <f t="shared" si="0"/>
        <v>1301.52</v>
      </c>
      <c r="M11" s="38"/>
      <c r="N11" s="42">
        <f t="shared" ref="N11:S16" si="1">IFERROR(G11/G$17,"")</f>
        <v>0.71873575444461324</v>
      </c>
      <c r="O11" s="42">
        <f t="shared" si="1"/>
        <v>0.73585631815266195</v>
      </c>
      <c r="P11" s="42">
        <f t="shared" si="1"/>
        <v>0.73585138402328898</v>
      </c>
      <c r="Q11" s="42">
        <f t="shared" si="1"/>
        <v>0.73585577037124905</v>
      </c>
      <c r="R11" s="42">
        <f t="shared" si="1"/>
        <v>0.73221021032677969</v>
      </c>
      <c r="S11" s="42">
        <f t="shared" si="1"/>
        <v>0.73221528992804541</v>
      </c>
      <c r="T11" s="38"/>
      <c r="U11" s="43"/>
      <c r="V11" s="43"/>
      <c r="W11" s="43"/>
      <c r="X11" s="44"/>
      <c r="Y11" s="44"/>
      <c r="Z11" s="43"/>
    </row>
    <row r="12" spans="1:27" s="39" customFormat="1" ht="14.25" customHeight="1" x14ac:dyDescent="0.2">
      <c r="A12" s="30"/>
      <c r="B12" s="8" t="s">
        <v>85</v>
      </c>
      <c r="C12" s="8"/>
      <c r="D12" s="8"/>
      <c r="E12" s="8"/>
      <c r="F12" s="40"/>
      <c r="G12" s="41">
        <f t="shared" ref="G12:L12" si="2">IF(G56&gt;0,G56,"")</f>
        <v>1.4</v>
      </c>
      <c r="H12" s="41">
        <f t="shared" si="2"/>
        <v>1.5</v>
      </c>
      <c r="I12" s="41">
        <f t="shared" si="2"/>
        <v>1.5699999999999998</v>
      </c>
      <c r="J12" s="41">
        <f t="shared" si="2"/>
        <v>1.64</v>
      </c>
      <c r="K12" s="41">
        <f t="shared" si="2"/>
        <v>6.11</v>
      </c>
      <c r="L12" s="41">
        <f t="shared" si="2"/>
        <v>7.03</v>
      </c>
      <c r="M12" s="38"/>
      <c r="N12" s="42">
        <f t="shared" si="1"/>
        <v>4.2546725421668437E-3</v>
      </c>
      <c r="O12" s="42">
        <f t="shared" si="1"/>
        <v>3.8486209108402822E-3</v>
      </c>
      <c r="P12" s="42">
        <f t="shared" si="1"/>
        <v>3.8732915577046425E-3</v>
      </c>
      <c r="Q12" s="42">
        <f t="shared" si="1"/>
        <v>3.8904044597319418E-3</v>
      </c>
      <c r="R12" s="42">
        <f t="shared" si="1"/>
        <v>3.9529271716838444E-3</v>
      </c>
      <c r="S12" s="42">
        <f t="shared" si="1"/>
        <v>3.9549707174643184E-3</v>
      </c>
      <c r="T12" s="38"/>
      <c r="U12" s="43"/>
      <c r="V12" s="43"/>
      <c r="W12" s="43"/>
      <c r="X12" s="44"/>
      <c r="Y12" s="44"/>
      <c r="Z12" s="43"/>
    </row>
    <row r="13" spans="1:27" s="39" customFormat="1" ht="14.25" customHeight="1" x14ac:dyDescent="0.2">
      <c r="A13" s="30"/>
      <c r="B13" s="8" t="s">
        <v>86</v>
      </c>
      <c r="C13" s="8"/>
      <c r="D13" s="8"/>
      <c r="E13" s="8"/>
      <c r="F13" s="40"/>
      <c r="G13" s="41">
        <f t="shared" ref="G13:L13" si="3">IF(G79&gt;0,G79,"")</f>
        <v>79</v>
      </c>
      <c r="H13" s="41">
        <f t="shared" si="3"/>
        <v>88</v>
      </c>
      <c r="I13" s="41">
        <f t="shared" si="3"/>
        <v>91.52000000000001</v>
      </c>
      <c r="J13" s="41">
        <f t="shared" si="3"/>
        <v>95.19</v>
      </c>
      <c r="K13" s="41">
        <f t="shared" si="3"/>
        <v>353.71000000000004</v>
      </c>
      <c r="L13" s="41">
        <f t="shared" si="3"/>
        <v>406.77</v>
      </c>
      <c r="M13" s="38"/>
      <c r="N13" s="42">
        <f t="shared" si="1"/>
        <v>0.24008509345084333</v>
      </c>
      <c r="O13" s="42">
        <f t="shared" si="1"/>
        <v>0.22578576010262988</v>
      </c>
      <c r="P13" s="42">
        <f t="shared" si="1"/>
        <v>0.22578576010262991</v>
      </c>
      <c r="Q13" s="42">
        <f t="shared" si="1"/>
        <v>0.22580951251334364</v>
      </c>
      <c r="R13" s="42">
        <f t="shared" si="1"/>
        <v>0.22883631258531792</v>
      </c>
      <c r="S13" s="42">
        <f t="shared" si="1"/>
        <v>0.22884259441578386</v>
      </c>
      <c r="T13" s="38"/>
      <c r="U13" s="43"/>
      <c r="V13" s="43"/>
      <c r="W13" s="43"/>
      <c r="X13" s="44"/>
      <c r="Y13" s="44"/>
      <c r="Z13" s="43"/>
    </row>
    <row r="14" spans="1:27" s="39" customFormat="1" ht="14.25" customHeight="1" x14ac:dyDescent="0.2">
      <c r="A14" s="30"/>
      <c r="B14" s="45" t="s">
        <v>87</v>
      </c>
      <c r="C14" s="46"/>
      <c r="D14" s="46"/>
      <c r="E14" s="47"/>
      <c r="F14" s="48"/>
      <c r="G14" s="41">
        <f t="shared" ref="G14:L14" si="4">IF(G92&gt;0,G92,"")</f>
        <v>6.6</v>
      </c>
      <c r="H14" s="41">
        <f t="shared" si="4"/>
        <v>7.1000000000000005</v>
      </c>
      <c r="I14" s="41">
        <f t="shared" si="4"/>
        <v>7.38</v>
      </c>
      <c r="J14" s="41">
        <f t="shared" si="4"/>
        <v>7.66</v>
      </c>
      <c r="K14" s="41">
        <f t="shared" si="4"/>
        <v>28.740000000000006</v>
      </c>
      <c r="L14" s="41">
        <f t="shared" si="4"/>
        <v>33.049999999999997</v>
      </c>
      <c r="M14" s="38"/>
      <c r="N14" s="42">
        <f t="shared" si="1"/>
        <v>2.0057741984500835E-2</v>
      </c>
      <c r="O14" s="42">
        <f t="shared" si="1"/>
        <v>1.8216805644644004E-2</v>
      </c>
      <c r="P14" s="42">
        <f t="shared" si="1"/>
        <v>1.8206937385898257E-2</v>
      </c>
      <c r="Q14" s="42">
        <f t="shared" si="1"/>
        <v>1.8171035464357731E-2</v>
      </c>
      <c r="R14" s="42">
        <f t="shared" si="1"/>
        <v>1.8593637792830391E-2</v>
      </c>
      <c r="S14" s="42">
        <f t="shared" si="1"/>
        <v>1.8593425634736229E-2</v>
      </c>
      <c r="T14" s="38"/>
      <c r="U14" s="43"/>
      <c r="V14" s="43"/>
      <c r="W14" s="43"/>
      <c r="X14" s="44"/>
      <c r="Y14" s="44"/>
      <c r="Z14" s="43"/>
    </row>
    <row r="15" spans="1:27" s="39" customFormat="1" ht="14.25" customHeight="1" x14ac:dyDescent="0.2">
      <c r="A15" s="30"/>
      <c r="B15" s="45" t="s">
        <v>88</v>
      </c>
      <c r="C15" s="46"/>
      <c r="D15" s="46"/>
      <c r="E15" s="47"/>
      <c r="F15" s="48"/>
      <c r="G15" s="41">
        <f t="shared" ref="G15:L15" si="5">IF(G103&gt;0,G103,"")</f>
        <v>4.6999999999999993</v>
      </c>
      <c r="H15" s="41">
        <f t="shared" si="5"/>
        <v>5.3999999999999995</v>
      </c>
      <c r="I15" s="41">
        <f t="shared" si="5"/>
        <v>5.6099999999999994</v>
      </c>
      <c r="J15" s="41">
        <f t="shared" si="5"/>
        <v>5.83</v>
      </c>
      <c r="K15" s="41">
        <f t="shared" si="5"/>
        <v>21.54</v>
      </c>
      <c r="L15" s="41">
        <f t="shared" si="5"/>
        <v>24.759999999999998</v>
      </c>
      <c r="M15" s="38"/>
      <c r="N15" s="42">
        <f t="shared" si="1"/>
        <v>1.428354353441726E-2</v>
      </c>
      <c r="O15" s="42">
        <f t="shared" si="1"/>
        <v>1.3855035279025015E-2</v>
      </c>
      <c r="P15" s="42">
        <f t="shared" si="1"/>
        <v>1.3840232890906396E-2</v>
      </c>
      <c r="Q15" s="42">
        <f t="shared" si="1"/>
        <v>1.3829913414778794E-2</v>
      </c>
      <c r="R15" s="42">
        <f t="shared" si="1"/>
        <v>1.3935523940764321E-2</v>
      </c>
      <c r="S15" s="42">
        <f t="shared" si="1"/>
        <v>1.3929598145720697E-2</v>
      </c>
      <c r="T15" s="38"/>
      <c r="U15" s="43"/>
      <c r="V15" s="43"/>
      <c r="W15" s="43"/>
      <c r="X15" s="44"/>
      <c r="Y15" s="44"/>
      <c r="Z15" s="43"/>
    </row>
    <row r="16" spans="1:27" s="39" customFormat="1" ht="14.25" customHeight="1" x14ac:dyDescent="0.2">
      <c r="A16" s="30"/>
      <c r="B16" s="8" t="s">
        <v>89</v>
      </c>
      <c r="C16" s="8"/>
      <c r="D16" s="8"/>
      <c r="E16" s="8"/>
      <c r="F16" s="48"/>
      <c r="G16" s="41">
        <f t="shared" ref="G16:L16" si="6">IF(G114&gt;0,G114,"")</f>
        <v>0.85</v>
      </c>
      <c r="H16" s="41">
        <f t="shared" si="6"/>
        <v>0.95000000000000007</v>
      </c>
      <c r="I16" s="41">
        <f t="shared" si="6"/>
        <v>0.9900000000000001</v>
      </c>
      <c r="J16" s="41">
        <f t="shared" si="6"/>
        <v>1.03</v>
      </c>
      <c r="K16" s="41">
        <f t="shared" si="6"/>
        <v>3.82</v>
      </c>
      <c r="L16" s="41">
        <f t="shared" si="6"/>
        <v>4.38</v>
      </c>
      <c r="M16" s="38"/>
      <c r="N16" s="42">
        <f t="shared" si="1"/>
        <v>2.5831940434584409E-3</v>
      </c>
      <c r="O16" s="42">
        <f t="shared" si="1"/>
        <v>2.4374599101988454E-3</v>
      </c>
      <c r="P16" s="42">
        <f t="shared" si="1"/>
        <v>2.4423940395717175E-3</v>
      </c>
      <c r="Q16" s="42">
        <f t="shared" si="1"/>
        <v>2.4433637765389638E-3</v>
      </c>
      <c r="R16" s="42">
        <f t="shared" si="1"/>
        <v>2.4713881826239417E-3</v>
      </c>
      <c r="S16" s="42">
        <f t="shared" si="1"/>
        <v>2.4641211582494614E-3</v>
      </c>
      <c r="T16" s="38"/>
      <c r="U16" s="43"/>
      <c r="V16" s="43"/>
      <c r="W16" s="43"/>
      <c r="X16" s="44"/>
      <c r="Y16" s="44"/>
      <c r="Z16" s="43"/>
    </row>
    <row r="17" spans="1:26" s="39" customFormat="1" ht="14.25" customHeight="1" x14ac:dyDescent="0.2">
      <c r="A17" s="30"/>
      <c r="B17" s="7" t="s">
        <v>90</v>
      </c>
      <c r="C17" s="7"/>
      <c r="D17" s="7"/>
      <c r="E17" s="7"/>
      <c r="F17" s="49"/>
      <c r="G17" s="50">
        <f t="shared" ref="G17:L17" si="7">SUM(G11:G16)</f>
        <v>329.05</v>
      </c>
      <c r="H17" s="50">
        <f t="shared" si="7"/>
        <v>389.75</v>
      </c>
      <c r="I17" s="50">
        <f t="shared" si="7"/>
        <v>405.34000000000003</v>
      </c>
      <c r="J17" s="50">
        <f t="shared" si="7"/>
        <v>421.54999999999995</v>
      </c>
      <c r="K17" s="50">
        <f t="shared" si="7"/>
        <v>1545.6899999999998</v>
      </c>
      <c r="L17" s="50">
        <f t="shared" si="7"/>
        <v>1777.51</v>
      </c>
      <c r="M17" s="38"/>
      <c r="N17" s="51">
        <f t="shared" ref="N17:S17" si="8">SUM(N11:N16)</f>
        <v>0.99999999999999989</v>
      </c>
      <c r="O17" s="51">
        <f t="shared" si="8"/>
        <v>0.99999999999999989</v>
      </c>
      <c r="P17" s="51">
        <f t="shared" si="8"/>
        <v>0.99999999999999989</v>
      </c>
      <c r="Q17" s="51">
        <f t="shared" si="8"/>
        <v>1.0000000000000002</v>
      </c>
      <c r="R17" s="51">
        <f t="shared" si="8"/>
        <v>1.0000000000000002</v>
      </c>
      <c r="S17" s="51">
        <f t="shared" si="8"/>
        <v>0.99999999999999989</v>
      </c>
      <c r="T17" s="38"/>
      <c r="U17" s="43"/>
      <c r="V17" s="43"/>
      <c r="W17" s="43"/>
      <c r="X17" s="44"/>
      <c r="Y17" s="44"/>
      <c r="Z17" s="43"/>
    </row>
    <row r="18" spans="1:26" s="39" customFormat="1" ht="14.25" customHeight="1" x14ac:dyDescent="0.2">
      <c r="A18" s="30"/>
      <c r="B18" s="6" t="s">
        <v>91</v>
      </c>
      <c r="C18" s="6"/>
      <c r="D18" s="6"/>
      <c r="E18" s="6"/>
      <c r="F18" s="34"/>
      <c r="G18" s="35" t="s">
        <v>77</v>
      </c>
      <c r="H18" s="35" t="s">
        <v>77</v>
      </c>
      <c r="I18" s="35" t="s">
        <v>77</v>
      </c>
      <c r="J18" s="35" t="s">
        <v>77</v>
      </c>
      <c r="K18" s="35" t="s">
        <v>77</v>
      </c>
      <c r="L18" s="35" t="s">
        <v>78</v>
      </c>
      <c r="M18" s="52"/>
      <c r="N18" s="35" t="s">
        <v>77</v>
      </c>
      <c r="O18" s="35" t="s">
        <v>77</v>
      </c>
      <c r="P18" s="35" t="s">
        <v>77</v>
      </c>
      <c r="Q18" s="35" t="s">
        <v>77</v>
      </c>
      <c r="R18" s="35" t="s">
        <v>77</v>
      </c>
      <c r="S18" s="35" t="s">
        <v>78</v>
      </c>
      <c r="T18" s="31"/>
      <c r="U18" s="35" t="s">
        <v>77</v>
      </c>
      <c r="V18" s="35" t="s">
        <v>77</v>
      </c>
      <c r="W18" s="35" t="s">
        <v>77</v>
      </c>
      <c r="X18" s="35" t="s">
        <v>77</v>
      </c>
      <c r="Y18" s="35" t="s">
        <v>77</v>
      </c>
      <c r="Z18" s="35" t="s">
        <v>78</v>
      </c>
    </row>
    <row r="19" spans="1:26" s="39" customFormat="1" ht="14.25" customHeight="1" x14ac:dyDescent="0.2">
      <c r="A19" s="30"/>
      <c r="B19" s="5" t="s">
        <v>92</v>
      </c>
      <c r="C19" s="5"/>
      <c r="D19" s="5"/>
      <c r="E19" s="5"/>
      <c r="F19" s="36" t="s">
        <v>93</v>
      </c>
      <c r="G19" s="37" t="s">
        <v>80</v>
      </c>
      <c r="H19" s="37" t="s">
        <v>81</v>
      </c>
      <c r="I19" s="37" t="s">
        <v>82</v>
      </c>
      <c r="J19" s="37" t="s">
        <v>83</v>
      </c>
      <c r="K19" s="37">
        <v>2025</v>
      </c>
      <c r="L19" s="37">
        <v>2026</v>
      </c>
      <c r="M19" s="31"/>
      <c r="N19" s="37" t="s">
        <v>80</v>
      </c>
      <c r="O19" s="37" t="s">
        <v>81</v>
      </c>
      <c r="P19" s="37" t="s">
        <v>82</v>
      </c>
      <c r="Q19" s="37" t="s">
        <v>83</v>
      </c>
      <c r="R19" s="37">
        <v>2025</v>
      </c>
      <c r="S19" s="37">
        <v>2026</v>
      </c>
      <c r="T19" s="31"/>
      <c r="U19" s="37" t="s">
        <v>80</v>
      </c>
      <c r="V19" s="37" t="s">
        <v>81</v>
      </c>
      <c r="W19" s="37" t="s">
        <v>82</v>
      </c>
      <c r="X19" s="37" t="s">
        <v>83</v>
      </c>
      <c r="Y19" s="37">
        <v>2025</v>
      </c>
      <c r="Z19" s="37">
        <v>2026</v>
      </c>
    </row>
    <row r="20" spans="1:26" s="39" customFormat="1" ht="14.25" customHeight="1" x14ac:dyDescent="0.2">
      <c r="A20" s="30"/>
      <c r="B20" s="8" t="s">
        <v>94</v>
      </c>
      <c r="C20" s="8"/>
      <c r="D20" s="8"/>
      <c r="E20" s="8"/>
      <c r="F20" s="53"/>
      <c r="G20" s="54">
        <v>90</v>
      </c>
      <c r="H20" s="54">
        <v>100</v>
      </c>
      <c r="I20" s="54">
        <f t="shared" ref="I20:J31" si="9">ROUND(H20*1.04,2)</f>
        <v>104</v>
      </c>
      <c r="J20" s="54">
        <f t="shared" si="9"/>
        <v>108.16</v>
      </c>
      <c r="K20" s="55">
        <f t="shared" ref="K20:K34" si="10">SUM(G20:J20)</f>
        <v>402.15999999999997</v>
      </c>
      <c r="L20" s="54">
        <f t="shared" ref="L20:L31" si="11">ROUND(K20*1.15,2)</f>
        <v>462.48</v>
      </c>
      <c r="M20" s="56"/>
      <c r="N20" s="57">
        <f t="shared" ref="N20:N34" si="12">IFERROR(G20/G$35,"")</f>
        <v>0.38054968287526425</v>
      </c>
      <c r="O20" s="57">
        <f t="shared" ref="O20:O34" si="13">IFERROR(H20/H$35,"")</f>
        <v>0.34867503486750345</v>
      </c>
      <c r="P20" s="57">
        <f t="shared" ref="P20:P34" si="14">IFERROR(I20/I$35,"")</f>
        <v>0.34867737285010225</v>
      </c>
      <c r="Q20" s="57">
        <f t="shared" ref="Q20:Q34" si="15">IFERROR(J20/J$35,"")</f>
        <v>0.34867827208252739</v>
      </c>
      <c r="R20" s="57">
        <f t="shared" ref="R20:R34" si="16">IFERROR(K20/K$35,"")</f>
        <v>0.35533721515855693</v>
      </c>
      <c r="S20" s="57">
        <f t="shared" ref="S20:S34" si="17">IFERROR(L20/L$35,"")</f>
        <v>0.35533837359395171</v>
      </c>
      <c r="T20" s="56"/>
      <c r="U20" s="58"/>
      <c r="V20" s="58"/>
      <c r="W20" s="58"/>
      <c r="X20" s="58"/>
      <c r="Y20" s="59"/>
      <c r="Z20" s="58"/>
    </row>
    <row r="21" spans="1:26" s="39" customFormat="1" ht="14.25" customHeight="1" x14ac:dyDescent="0.2">
      <c r="A21" s="30"/>
      <c r="B21" s="8" t="s">
        <v>95</v>
      </c>
      <c r="C21" s="8"/>
      <c r="D21" s="8"/>
      <c r="E21" s="8"/>
      <c r="F21" s="53"/>
      <c r="G21" s="54">
        <v>9</v>
      </c>
      <c r="H21" s="54">
        <v>12</v>
      </c>
      <c r="I21" s="54">
        <f t="shared" si="9"/>
        <v>12.48</v>
      </c>
      <c r="J21" s="54">
        <f t="shared" si="9"/>
        <v>12.98</v>
      </c>
      <c r="K21" s="55">
        <f t="shared" si="10"/>
        <v>46.460000000000008</v>
      </c>
      <c r="L21" s="54">
        <f t="shared" si="11"/>
        <v>53.43</v>
      </c>
      <c r="M21" s="56"/>
      <c r="N21" s="57">
        <f t="shared" si="12"/>
        <v>3.8054968287526428E-2</v>
      </c>
      <c r="O21" s="57">
        <f t="shared" si="13"/>
        <v>4.1841004184100417E-2</v>
      </c>
      <c r="P21" s="57">
        <f t="shared" si="14"/>
        <v>4.1841284742012277E-2</v>
      </c>
      <c r="Q21" s="57">
        <f t="shared" si="15"/>
        <v>4.1843971631205679E-2</v>
      </c>
      <c r="R21" s="57">
        <f t="shared" si="16"/>
        <v>4.1050743525628007E-2</v>
      </c>
      <c r="S21" s="57">
        <f t="shared" si="17"/>
        <v>4.1052000737599112E-2</v>
      </c>
      <c r="T21" s="56"/>
      <c r="U21" s="58"/>
      <c r="V21" s="58"/>
      <c r="W21" s="58"/>
      <c r="X21" s="58"/>
      <c r="Y21" s="59"/>
      <c r="Z21" s="58"/>
    </row>
    <row r="22" spans="1:26" s="39" customFormat="1" ht="14.25" customHeight="1" x14ac:dyDescent="0.2">
      <c r="A22" s="30"/>
      <c r="B22" s="8" t="s">
        <v>96</v>
      </c>
      <c r="C22" s="8"/>
      <c r="D22" s="8"/>
      <c r="E22" s="8"/>
      <c r="F22" s="53"/>
      <c r="G22" s="54">
        <v>13</v>
      </c>
      <c r="H22" s="54">
        <v>16</v>
      </c>
      <c r="I22" s="54">
        <f t="shared" si="9"/>
        <v>16.64</v>
      </c>
      <c r="J22" s="54">
        <f t="shared" si="9"/>
        <v>17.309999999999999</v>
      </c>
      <c r="K22" s="55">
        <f t="shared" si="10"/>
        <v>62.95</v>
      </c>
      <c r="L22" s="54">
        <f t="shared" si="11"/>
        <v>72.39</v>
      </c>
      <c r="M22" s="56"/>
      <c r="N22" s="57">
        <f t="shared" si="12"/>
        <v>5.4968287526427059E-2</v>
      </c>
      <c r="O22" s="57">
        <f t="shared" si="13"/>
        <v>5.5788005578800558E-2</v>
      </c>
      <c r="P22" s="57">
        <f t="shared" si="14"/>
        <v>5.5788379656016365E-2</v>
      </c>
      <c r="Q22" s="57">
        <f t="shared" si="15"/>
        <v>5.5802707930367505E-2</v>
      </c>
      <c r="R22" s="57">
        <f t="shared" si="16"/>
        <v>5.562084169044948E-2</v>
      </c>
      <c r="S22" s="57">
        <f t="shared" si="17"/>
        <v>5.5619583256500092E-2</v>
      </c>
      <c r="T22" s="56"/>
      <c r="U22" s="58"/>
      <c r="V22" s="58"/>
      <c r="W22" s="58"/>
      <c r="X22" s="58"/>
      <c r="Y22" s="59"/>
      <c r="Z22" s="58"/>
    </row>
    <row r="23" spans="1:26" s="39" customFormat="1" ht="14.25" customHeight="1" x14ac:dyDescent="0.2">
      <c r="A23" s="30"/>
      <c r="B23" s="8" t="s">
        <v>97</v>
      </c>
      <c r="C23" s="8"/>
      <c r="D23" s="8"/>
      <c r="E23" s="8"/>
      <c r="F23" s="53"/>
      <c r="G23" s="54">
        <v>17</v>
      </c>
      <c r="H23" s="54">
        <v>20</v>
      </c>
      <c r="I23" s="54">
        <f t="shared" si="9"/>
        <v>20.8</v>
      </c>
      <c r="J23" s="54">
        <f t="shared" si="9"/>
        <v>21.63</v>
      </c>
      <c r="K23" s="55">
        <f t="shared" si="10"/>
        <v>79.429999999999993</v>
      </c>
      <c r="L23" s="54">
        <f t="shared" si="11"/>
        <v>91.34</v>
      </c>
      <c r="M23" s="56"/>
      <c r="N23" s="57">
        <f t="shared" si="12"/>
        <v>7.1881606765327691E-2</v>
      </c>
      <c r="O23" s="57">
        <f t="shared" si="13"/>
        <v>6.9735006973500699E-2</v>
      </c>
      <c r="P23" s="57">
        <f t="shared" si="14"/>
        <v>6.9735474570020453E-2</v>
      </c>
      <c r="Q23" s="57">
        <f t="shared" si="15"/>
        <v>6.972920696324951E-2</v>
      </c>
      <c r="R23" s="57">
        <f t="shared" si="16"/>
        <v>7.0182104137766502E-2</v>
      </c>
      <c r="S23" s="57">
        <f t="shared" si="17"/>
        <v>7.0179482451287731E-2</v>
      </c>
      <c r="T23" s="56"/>
      <c r="U23" s="58"/>
      <c r="V23" s="58"/>
      <c r="W23" s="58"/>
      <c r="X23" s="58"/>
      <c r="Y23" s="59"/>
      <c r="Z23" s="58"/>
    </row>
    <row r="24" spans="1:26" s="39" customFormat="1" ht="14.25" customHeight="1" x14ac:dyDescent="0.2">
      <c r="A24" s="30"/>
      <c r="B24" s="8" t="s">
        <v>98</v>
      </c>
      <c r="C24" s="8"/>
      <c r="D24" s="8"/>
      <c r="E24" s="8"/>
      <c r="F24" s="53"/>
      <c r="G24" s="54">
        <v>9</v>
      </c>
      <c r="H24" s="54">
        <v>11</v>
      </c>
      <c r="I24" s="54">
        <f t="shared" si="9"/>
        <v>11.44</v>
      </c>
      <c r="J24" s="54">
        <f t="shared" si="9"/>
        <v>11.9</v>
      </c>
      <c r="K24" s="55">
        <f t="shared" si="10"/>
        <v>43.339999999999996</v>
      </c>
      <c r="L24" s="54">
        <f t="shared" si="11"/>
        <v>49.84</v>
      </c>
      <c r="M24" s="56"/>
      <c r="N24" s="57">
        <f t="shared" si="12"/>
        <v>3.8054968287526428E-2</v>
      </c>
      <c r="O24" s="57">
        <f t="shared" si="13"/>
        <v>3.835425383542538E-2</v>
      </c>
      <c r="P24" s="57">
        <f t="shared" si="14"/>
        <v>3.8354511013511249E-2</v>
      </c>
      <c r="Q24" s="57">
        <f t="shared" si="15"/>
        <v>3.8362346872985176E-2</v>
      </c>
      <c r="R24" s="57">
        <f t="shared" si="16"/>
        <v>3.8293999664242732E-2</v>
      </c>
      <c r="S24" s="57">
        <f t="shared" si="17"/>
        <v>3.8293687380908478E-2</v>
      </c>
      <c r="T24" s="56"/>
      <c r="U24" s="58"/>
      <c r="V24" s="58"/>
      <c r="W24" s="58"/>
      <c r="X24" s="58"/>
      <c r="Y24" s="59"/>
      <c r="Z24" s="58"/>
    </row>
    <row r="25" spans="1:26" s="39" customFormat="1" ht="14.25" customHeight="1" x14ac:dyDescent="0.2">
      <c r="A25" s="30"/>
      <c r="B25" s="8" t="s">
        <v>99</v>
      </c>
      <c r="C25" s="8"/>
      <c r="D25" s="8"/>
      <c r="E25" s="8"/>
      <c r="F25" s="53"/>
      <c r="G25" s="54">
        <v>8</v>
      </c>
      <c r="H25" s="54">
        <v>12</v>
      </c>
      <c r="I25" s="54">
        <f t="shared" si="9"/>
        <v>12.48</v>
      </c>
      <c r="J25" s="54">
        <f t="shared" si="9"/>
        <v>12.98</v>
      </c>
      <c r="K25" s="55">
        <f t="shared" si="10"/>
        <v>45.460000000000008</v>
      </c>
      <c r="L25" s="54">
        <f t="shared" si="11"/>
        <v>52.28</v>
      </c>
      <c r="M25" s="56"/>
      <c r="N25" s="57">
        <f t="shared" si="12"/>
        <v>3.382663847780127E-2</v>
      </c>
      <c r="O25" s="57">
        <f t="shared" si="13"/>
        <v>4.1841004184100417E-2</v>
      </c>
      <c r="P25" s="57">
        <f t="shared" si="14"/>
        <v>4.1841284742012277E-2</v>
      </c>
      <c r="Q25" s="57">
        <f t="shared" si="15"/>
        <v>4.1843971631205679E-2</v>
      </c>
      <c r="R25" s="57">
        <f t="shared" si="16"/>
        <v>4.0167171775184009E-2</v>
      </c>
      <c r="S25" s="57">
        <f t="shared" si="17"/>
        <v>4.0168418464564509E-2</v>
      </c>
      <c r="T25" s="56"/>
      <c r="U25" s="58"/>
      <c r="V25" s="58"/>
      <c r="W25" s="58"/>
      <c r="X25" s="58"/>
      <c r="Y25" s="59"/>
      <c r="Z25" s="58"/>
    </row>
    <row r="26" spans="1:26" s="39" customFormat="1" ht="14.25" customHeight="1" x14ac:dyDescent="0.2">
      <c r="A26" s="30"/>
      <c r="B26" s="8" t="s">
        <v>100</v>
      </c>
      <c r="C26" s="8"/>
      <c r="D26" s="8"/>
      <c r="E26" s="8"/>
      <c r="F26" s="53"/>
      <c r="G26" s="54">
        <v>3</v>
      </c>
      <c r="H26" s="54">
        <v>4</v>
      </c>
      <c r="I26" s="54">
        <f t="shared" si="9"/>
        <v>4.16</v>
      </c>
      <c r="J26" s="54">
        <f t="shared" si="9"/>
        <v>4.33</v>
      </c>
      <c r="K26" s="55">
        <f t="shared" si="10"/>
        <v>15.49</v>
      </c>
      <c r="L26" s="54">
        <f t="shared" si="11"/>
        <v>17.809999999999999</v>
      </c>
      <c r="M26" s="56"/>
      <c r="N26" s="57">
        <f t="shared" si="12"/>
        <v>1.2684989429175475E-2</v>
      </c>
      <c r="O26" s="57">
        <f t="shared" si="13"/>
        <v>1.3947001394700139E-2</v>
      </c>
      <c r="P26" s="57">
        <f t="shared" si="14"/>
        <v>1.3947094914004091E-2</v>
      </c>
      <c r="Q26" s="57">
        <f t="shared" si="15"/>
        <v>1.3958736299161832E-2</v>
      </c>
      <c r="R26" s="57">
        <f t="shared" si="16"/>
        <v>1.3686526414377479E-2</v>
      </c>
      <c r="S26" s="57">
        <f t="shared" si="17"/>
        <v>1.3684000245866371E-2</v>
      </c>
      <c r="T26" s="56"/>
      <c r="U26" s="58"/>
      <c r="V26" s="58"/>
      <c r="W26" s="58"/>
      <c r="X26" s="58"/>
      <c r="Y26" s="59"/>
      <c r="Z26" s="58"/>
    </row>
    <row r="27" spans="1:26" s="39" customFormat="1" ht="14.25" customHeight="1" x14ac:dyDescent="0.2">
      <c r="A27" s="30"/>
      <c r="B27" s="8" t="s">
        <v>101</v>
      </c>
      <c r="C27" s="8"/>
      <c r="D27" s="8"/>
      <c r="E27" s="8"/>
      <c r="F27" s="53"/>
      <c r="G27" s="54">
        <v>1</v>
      </c>
      <c r="H27" s="54">
        <v>1.5</v>
      </c>
      <c r="I27" s="54">
        <f t="shared" si="9"/>
        <v>1.56</v>
      </c>
      <c r="J27" s="54">
        <f t="shared" si="9"/>
        <v>1.62</v>
      </c>
      <c r="K27" s="55">
        <f t="shared" si="10"/>
        <v>5.6800000000000006</v>
      </c>
      <c r="L27" s="54">
        <f t="shared" si="11"/>
        <v>6.53</v>
      </c>
      <c r="M27" s="56"/>
      <c r="N27" s="57">
        <f t="shared" si="12"/>
        <v>4.2283298097251587E-3</v>
      </c>
      <c r="O27" s="57">
        <f t="shared" si="13"/>
        <v>5.2301255230125521E-3</v>
      </c>
      <c r="P27" s="57">
        <f t="shared" si="14"/>
        <v>5.2301605927515347E-3</v>
      </c>
      <c r="Q27" s="57">
        <f t="shared" si="15"/>
        <v>5.2224371373307552E-3</v>
      </c>
      <c r="R27" s="57">
        <f t="shared" si="16"/>
        <v>5.0186875425218911E-3</v>
      </c>
      <c r="S27" s="57">
        <f t="shared" si="17"/>
        <v>5.0172106460138919E-3</v>
      </c>
      <c r="T27" s="56"/>
      <c r="U27" s="58"/>
      <c r="V27" s="58"/>
      <c r="W27" s="58"/>
      <c r="X27" s="58"/>
      <c r="Y27" s="59"/>
      <c r="Z27" s="58"/>
    </row>
    <row r="28" spans="1:26" s="39" customFormat="1" ht="14.25" customHeight="1" x14ac:dyDescent="0.2">
      <c r="A28" s="30"/>
      <c r="B28" s="8" t="s">
        <v>102</v>
      </c>
      <c r="C28" s="8"/>
      <c r="D28" s="8"/>
      <c r="E28" s="8"/>
      <c r="F28" s="53"/>
      <c r="G28" s="54">
        <v>0.5</v>
      </c>
      <c r="H28" s="54">
        <v>0.8</v>
      </c>
      <c r="I28" s="54">
        <f t="shared" si="9"/>
        <v>0.83</v>
      </c>
      <c r="J28" s="54">
        <f t="shared" si="9"/>
        <v>0.86</v>
      </c>
      <c r="K28" s="55">
        <f t="shared" si="10"/>
        <v>2.9899999999999998</v>
      </c>
      <c r="L28" s="54">
        <f t="shared" si="11"/>
        <v>3.44</v>
      </c>
      <c r="M28" s="56"/>
      <c r="N28" s="57">
        <f t="shared" si="12"/>
        <v>2.1141649048625794E-3</v>
      </c>
      <c r="O28" s="57">
        <f t="shared" si="13"/>
        <v>2.7894002789400278E-3</v>
      </c>
      <c r="P28" s="57">
        <f t="shared" si="14"/>
        <v>2.7827136487075469E-3</v>
      </c>
      <c r="Q28" s="57">
        <f t="shared" si="15"/>
        <v>2.7724049000644748E-3</v>
      </c>
      <c r="R28" s="57">
        <f t="shared" si="16"/>
        <v>2.6418795338275444E-3</v>
      </c>
      <c r="S28" s="57">
        <f t="shared" si="17"/>
        <v>2.6430634949904728E-3</v>
      </c>
      <c r="T28" s="56"/>
      <c r="U28" s="58"/>
      <c r="V28" s="58"/>
      <c r="W28" s="58"/>
      <c r="X28" s="58"/>
      <c r="Y28" s="59"/>
      <c r="Z28" s="58"/>
    </row>
    <row r="29" spans="1:26" s="39" customFormat="1" ht="14.25" customHeight="1" x14ac:dyDescent="0.2">
      <c r="A29" s="30"/>
      <c r="B29" s="8" t="s">
        <v>103</v>
      </c>
      <c r="C29" s="8"/>
      <c r="D29" s="8"/>
      <c r="E29" s="8"/>
      <c r="F29" s="53"/>
      <c r="G29" s="54">
        <v>78</v>
      </c>
      <c r="H29" s="54">
        <v>100</v>
      </c>
      <c r="I29" s="54">
        <f t="shared" si="9"/>
        <v>104</v>
      </c>
      <c r="J29" s="54">
        <f t="shared" si="9"/>
        <v>108.16</v>
      </c>
      <c r="K29" s="55">
        <f t="shared" si="10"/>
        <v>390.15999999999997</v>
      </c>
      <c r="L29" s="54">
        <f t="shared" si="11"/>
        <v>448.68</v>
      </c>
      <c r="M29" s="56"/>
      <c r="N29" s="57">
        <f t="shared" si="12"/>
        <v>0.32980972515856238</v>
      </c>
      <c r="O29" s="57">
        <f t="shared" si="13"/>
        <v>0.34867503486750345</v>
      </c>
      <c r="P29" s="57">
        <f t="shared" si="14"/>
        <v>0.34867737285010225</v>
      </c>
      <c r="Q29" s="57">
        <f t="shared" si="15"/>
        <v>0.34867827208252739</v>
      </c>
      <c r="R29" s="57">
        <f t="shared" si="16"/>
        <v>0.34473435415322901</v>
      </c>
      <c r="S29" s="57">
        <f t="shared" si="17"/>
        <v>0.34473538631753642</v>
      </c>
      <c r="T29" s="56"/>
      <c r="U29" s="58"/>
      <c r="V29" s="58"/>
      <c r="W29" s="58"/>
      <c r="X29" s="58"/>
      <c r="Y29" s="59"/>
      <c r="Z29" s="58"/>
    </row>
    <row r="30" spans="1:26" s="39" customFormat="1" ht="14.25" customHeight="1" x14ac:dyDescent="0.2">
      <c r="A30" s="30"/>
      <c r="B30" s="45" t="s">
        <v>104</v>
      </c>
      <c r="C30" s="46"/>
      <c r="D30" s="46"/>
      <c r="E30" s="47"/>
      <c r="F30" s="53"/>
      <c r="G30" s="54">
        <v>1</v>
      </c>
      <c r="H30" s="54">
        <v>1.5</v>
      </c>
      <c r="I30" s="54">
        <f t="shared" si="9"/>
        <v>1.56</v>
      </c>
      <c r="J30" s="54">
        <f t="shared" si="9"/>
        <v>1.62</v>
      </c>
      <c r="K30" s="55">
        <f t="shared" si="10"/>
        <v>5.6800000000000006</v>
      </c>
      <c r="L30" s="54">
        <f t="shared" si="11"/>
        <v>6.53</v>
      </c>
      <c r="M30" s="56"/>
      <c r="N30" s="57">
        <f t="shared" si="12"/>
        <v>4.2283298097251587E-3</v>
      </c>
      <c r="O30" s="57">
        <f t="shared" si="13"/>
        <v>5.2301255230125521E-3</v>
      </c>
      <c r="P30" s="57">
        <f t="shared" si="14"/>
        <v>5.2301605927515347E-3</v>
      </c>
      <c r="Q30" s="57">
        <f t="shared" si="15"/>
        <v>5.2224371373307552E-3</v>
      </c>
      <c r="R30" s="57">
        <f t="shared" si="16"/>
        <v>5.0186875425218911E-3</v>
      </c>
      <c r="S30" s="57">
        <f t="shared" si="17"/>
        <v>5.0172106460138919E-3</v>
      </c>
      <c r="T30" s="56"/>
      <c r="U30" s="58"/>
      <c r="V30" s="58"/>
      <c r="W30" s="58"/>
      <c r="X30" s="58"/>
      <c r="Y30" s="59"/>
      <c r="Z30" s="58"/>
    </row>
    <row r="31" spans="1:26" s="39" customFormat="1" ht="14.25" customHeight="1" x14ac:dyDescent="0.2">
      <c r="A31" s="30"/>
      <c r="B31" s="8" t="s">
        <v>105</v>
      </c>
      <c r="C31" s="8"/>
      <c r="D31" s="8"/>
      <c r="E31" s="8"/>
      <c r="F31" s="53"/>
      <c r="G31" s="54">
        <v>7</v>
      </c>
      <c r="H31" s="54">
        <v>8</v>
      </c>
      <c r="I31" s="54">
        <f t="shared" si="9"/>
        <v>8.32</v>
      </c>
      <c r="J31" s="54">
        <f t="shared" si="9"/>
        <v>8.65</v>
      </c>
      <c r="K31" s="55">
        <f t="shared" si="10"/>
        <v>31.97</v>
      </c>
      <c r="L31" s="54">
        <f t="shared" si="11"/>
        <v>36.770000000000003</v>
      </c>
      <c r="M31" s="56"/>
      <c r="N31" s="57">
        <f t="shared" si="12"/>
        <v>2.9598308668076109E-2</v>
      </c>
      <c r="O31" s="57">
        <f t="shared" si="13"/>
        <v>2.7894002789400279E-2</v>
      </c>
      <c r="P31" s="57">
        <f t="shared" si="14"/>
        <v>2.7894189828008183E-2</v>
      </c>
      <c r="Q31" s="57">
        <f t="shared" si="15"/>
        <v>2.7885235332043845E-2</v>
      </c>
      <c r="R31" s="57">
        <f t="shared" si="16"/>
        <v>2.8247788861694514E-2</v>
      </c>
      <c r="S31" s="57">
        <f t="shared" si="17"/>
        <v>2.8251582764767351E-2</v>
      </c>
      <c r="T31" s="56"/>
      <c r="U31" s="58"/>
      <c r="V31" s="58"/>
      <c r="W31" s="58"/>
      <c r="X31" s="58"/>
      <c r="Y31" s="59"/>
      <c r="Z31" s="58"/>
    </row>
    <row r="32" spans="1:26" s="39" customFormat="1" ht="14.25" customHeight="1" x14ac:dyDescent="0.2">
      <c r="A32" s="30"/>
      <c r="B32" s="8" t="s">
        <v>106</v>
      </c>
      <c r="C32" s="8"/>
      <c r="D32" s="8"/>
      <c r="E32" s="8"/>
      <c r="F32" s="53"/>
      <c r="G32" s="54">
        <v>0</v>
      </c>
      <c r="H32" s="54">
        <v>0</v>
      </c>
      <c r="I32" s="54"/>
      <c r="J32" s="54"/>
      <c r="K32" s="55">
        <f t="shared" si="10"/>
        <v>0</v>
      </c>
      <c r="L32" s="54"/>
      <c r="M32" s="56"/>
      <c r="N32" s="57">
        <f t="shared" si="12"/>
        <v>0</v>
      </c>
      <c r="O32" s="57">
        <f t="shared" si="13"/>
        <v>0</v>
      </c>
      <c r="P32" s="57">
        <f t="shared" si="14"/>
        <v>0</v>
      </c>
      <c r="Q32" s="57">
        <f t="shared" si="15"/>
        <v>0</v>
      </c>
      <c r="R32" s="57">
        <f t="shared" si="16"/>
        <v>0</v>
      </c>
      <c r="S32" s="57">
        <f t="shared" si="17"/>
        <v>0</v>
      </c>
      <c r="T32" s="56"/>
      <c r="U32" s="58"/>
      <c r="V32" s="58"/>
      <c r="W32" s="58"/>
      <c r="X32" s="58"/>
      <c r="Y32" s="59"/>
      <c r="Z32" s="58"/>
    </row>
    <row r="33" spans="1:26" s="39" customFormat="1" ht="14.25" customHeight="1" x14ac:dyDescent="0.2">
      <c r="A33" s="30"/>
      <c r="B33" s="8" t="s">
        <v>107</v>
      </c>
      <c r="C33" s="8"/>
      <c r="D33" s="8"/>
      <c r="E33" s="8"/>
      <c r="F33" s="53"/>
      <c r="G33" s="54">
        <v>0</v>
      </c>
      <c r="H33" s="54">
        <v>0</v>
      </c>
      <c r="I33" s="54"/>
      <c r="J33" s="54"/>
      <c r="K33" s="55">
        <f t="shared" si="10"/>
        <v>0</v>
      </c>
      <c r="L33" s="54"/>
      <c r="M33" s="56"/>
      <c r="N33" s="57">
        <f t="shared" si="12"/>
        <v>0</v>
      </c>
      <c r="O33" s="57">
        <f t="shared" si="13"/>
        <v>0</v>
      </c>
      <c r="P33" s="57">
        <f t="shared" si="14"/>
        <v>0</v>
      </c>
      <c r="Q33" s="57">
        <f t="shared" si="15"/>
        <v>0</v>
      </c>
      <c r="R33" s="57">
        <f t="shared" si="16"/>
        <v>0</v>
      </c>
      <c r="S33" s="57">
        <f t="shared" si="17"/>
        <v>0</v>
      </c>
      <c r="T33" s="56"/>
      <c r="U33" s="58"/>
      <c r="V33" s="58"/>
      <c r="W33" s="58"/>
      <c r="X33" s="58"/>
      <c r="Y33" s="59"/>
      <c r="Z33" s="58"/>
    </row>
    <row r="34" spans="1:26" s="39" customFormat="1" ht="14.25" customHeight="1" x14ac:dyDescent="0.2">
      <c r="A34" s="30"/>
      <c r="B34" s="4" t="s">
        <v>108</v>
      </c>
      <c r="C34" s="4"/>
      <c r="D34" s="3"/>
      <c r="E34" s="3"/>
      <c r="F34" s="60"/>
      <c r="G34" s="54"/>
      <c r="H34" s="54"/>
      <c r="I34" s="54"/>
      <c r="J34" s="54"/>
      <c r="K34" s="55">
        <f t="shared" si="10"/>
        <v>0</v>
      </c>
      <c r="L34" s="54"/>
      <c r="M34" s="56"/>
      <c r="N34" s="57">
        <f t="shared" si="12"/>
        <v>0</v>
      </c>
      <c r="O34" s="57">
        <f t="shared" si="13"/>
        <v>0</v>
      </c>
      <c r="P34" s="57">
        <f t="shared" si="14"/>
        <v>0</v>
      </c>
      <c r="Q34" s="57">
        <f t="shared" si="15"/>
        <v>0</v>
      </c>
      <c r="R34" s="57">
        <f t="shared" si="16"/>
        <v>0</v>
      </c>
      <c r="S34" s="57">
        <f t="shared" si="17"/>
        <v>0</v>
      </c>
      <c r="T34" s="56"/>
      <c r="U34" s="58"/>
      <c r="V34" s="58"/>
      <c r="W34" s="58"/>
      <c r="X34" s="58"/>
      <c r="Y34" s="59"/>
      <c r="Z34" s="58"/>
    </row>
    <row r="35" spans="1:26" s="39" customFormat="1" ht="14.25" customHeight="1" x14ac:dyDescent="0.2">
      <c r="A35" s="30"/>
      <c r="B35" s="7" t="s">
        <v>109</v>
      </c>
      <c r="C35" s="7"/>
      <c r="D35" s="7"/>
      <c r="E35" s="7"/>
      <c r="F35" s="61"/>
      <c r="G35" s="62">
        <f t="shared" ref="G35:L35" si="18">SUM(G20:G34)</f>
        <v>236.5</v>
      </c>
      <c r="H35" s="62">
        <f t="shared" si="18"/>
        <v>286.8</v>
      </c>
      <c r="I35" s="62">
        <f t="shared" si="18"/>
        <v>298.27</v>
      </c>
      <c r="J35" s="62">
        <f t="shared" si="18"/>
        <v>310.2</v>
      </c>
      <c r="K35" s="62">
        <f t="shared" si="18"/>
        <v>1131.77</v>
      </c>
      <c r="L35" s="62">
        <f t="shared" si="18"/>
        <v>1301.52</v>
      </c>
      <c r="M35" s="31"/>
      <c r="N35" s="51">
        <f t="shared" ref="N35:S35" si="19">SUM(N20:N34)</f>
        <v>1</v>
      </c>
      <c r="O35" s="51">
        <f t="shared" si="19"/>
        <v>0.99999999999999989</v>
      </c>
      <c r="P35" s="51">
        <f t="shared" si="19"/>
        <v>1</v>
      </c>
      <c r="Q35" s="51">
        <f t="shared" si="19"/>
        <v>0.99999999999999978</v>
      </c>
      <c r="R35" s="51">
        <f t="shared" si="19"/>
        <v>1</v>
      </c>
      <c r="S35" s="51">
        <f t="shared" si="19"/>
        <v>1</v>
      </c>
      <c r="T35" s="31"/>
      <c r="U35" s="63"/>
      <c r="V35" s="63"/>
      <c r="W35" s="63"/>
      <c r="X35" s="63"/>
      <c r="Y35" s="63"/>
      <c r="Z35" s="63"/>
    </row>
    <row r="36" spans="1:26" s="39" customFormat="1" ht="14.25" customHeight="1" x14ac:dyDescent="0.2">
      <c r="A36" s="30"/>
      <c r="B36" s="6" t="s">
        <v>110</v>
      </c>
      <c r="C36" s="6"/>
      <c r="D36" s="6"/>
      <c r="E36" s="6"/>
      <c r="F36" s="34"/>
      <c r="G36" s="35" t="s">
        <v>77</v>
      </c>
      <c r="H36" s="35" t="s">
        <v>77</v>
      </c>
      <c r="I36" s="35" t="s">
        <v>77</v>
      </c>
      <c r="J36" s="35" t="s">
        <v>77</v>
      </c>
      <c r="K36" s="35" t="s">
        <v>77</v>
      </c>
      <c r="L36" s="35" t="s">
        <v>78</v>
      </c>
      <c r="M36" s="64"/>
      <c r="N36" s="35" t="s">
        <v>77</v>
      </c>
      <c r="O36" s="35" t="s">
        <v>77</v>
      </c>
      <c r="P36" s="35" t="s">
        <v>77</v>
      </c>
      <c r="Q36" s="35" t="s">
        <v>77</v>
      </c>
      <c r="R36" s="35" t="s">
        <v>77</v>
      </c>
      <c r="S36" s="35" t="s">
        <v>78</v>
      </c>
      <c r="T36" s="31"/>
      <c r="U36" s="35" t="s">
        <v>77</v>
      </c>
      <c r="V36" s="35" t="s">
        <v>77</v>
      </c>
      <c r="W36" s="35" t="s">
        <v>77</v>
      </c>
      <c r="X36" s="35" t="s">
        <v>77</v>
      </c>
      <c r="Y36" s="35" t="s">
        <v>77</v>
      </c>
      <c r="Z36" s="35" t="s">
        <v>78</v>
      </c>
    </row>
    <row r="37" spans="1:26" s="39" customFormat="1" ht="14.25" customHeight="1" x14ac:dyDescent="0.2">
      <c r="A37" s="30"/>
      <c r="B37" s="5" t="s">
        <v>111</v>
      </c>
      <c r="C37" s="5"/>
      <c r="D37" s="5"/>
      <c r="E37" s="5"/>
      <c r="F37" s="36" t="s">
        <v>93</v>
      </c>
      <c r="G37" s="37" t="s">
        <v>80</v>
      </c>
      <c r="H37" s="37" t="s">
        <v>81</v>
      </c>
      <c r="I37" s="37" t="s">
        <v>82</v>
      </c>
      <c r="J37" s="37" t="s">
        <v>83</v>
      </c>
      <c r="K37" s="37">
        <v>2025</v>
      </c>
      <c r="L37" s="37">
        <v>2026</v>
      </c>
      <c r="M37" s="31"/>
      <c r="N37" s="37" t="s">
        <v>80</v>
      </c>
      <c r="O37" s="37" t="s">
        <v>81</v>
      </c>
      <c r="P37" s="37" t="s">
        <v>82</v>
      </c>
      <c r="Q37" s="37" t="s">
        <v>83</v>
      </c>
      <c r="R37" s="37">
        <v>2025</v>
      </c>
      <c r="S37" s="37">
        <v>2026</v>
      </c>
      <c r="T37" s="31"/>
      <c r="U37" s="37" t="s">
        <v>80</v>
      </c>
      <c r="V37" s="37" t="s">
        <v>81</v>
      </c>
      <c r="W37" s="37" t="s">
        <v>82</v>
      </c>
      <c r="X37" s="37" t="s">
        <v>83</v>
      </c>
      <c r="Y37" s="37">
        <v>2025</v>
      </c>
      <c r="Z37" s="37">
        <v>2026</v>
      </c>
    </row>
    <row r="38" spans="1:26" s="39" customFormat="1" ht="14.25" customHeight="1" x14ac:dyDescent="0.2">
      <c r="A38" s="30"/>
      <c r="B38" s="8" t="s">
        <v>52</v>
      </c>
      <c r="C38" s="8"/>
      <c r="D38" s="8"/>
      <c r="E38" s="8"/>
      <c r="F38" s="53"/>
      <c r="G38" s="54">
        <v>0.6</v>
      </c>
      <c r="H38" s="54">
        <v>0.7</v>
      </c>
      <c r="I38" s="54">
        <f t="shared" ref="I38:J40" si="20">ROUND(H38*1.04,2)</f>
        <v>0.73</v>
      </c>
      <c r="J38" s="54">
        <f t="shared" si="20"/>
        <v>0.76</v>
      </c>
      <c r="K38" s="55">
        <f t="shared" ref="K38:K55" si="21">SUM(G38:J38)</f>
        <v>2.79</v>
      </c>
      <c r="L38" s="54">
        <f>ROUND(K38*1.15,2)</f>
        <v>3.21</v>
      </c>
      <c r="M38" s="56"/>
      <c r="N38" s="57">
        <f t="shared" ref="N38:N55" si="22">IFERROR(G38/G$56,"")</f>
        <v>0.4285714285714286</v>
      </c>
      <c r="O38" s="57">
        <f t="shared" ref="O38:O55" si="23">IFERROR(H38/H$56,"")</f>
        <v>0.46666666666666662</v>
      </c>
      <c r="P38" s="57">
        <f t="shared" ref="P38:P55" si="24">IFERROR(I38/I$56,"")</f>
        <v>0.4649681528662421</v>
      </c>
      <c r="Q38" s="57">
        <f t="shared" ref="Q38:Q55" si="25">IFERROR(J38/J$56,"")</f>
        <v>0.46341463414634149</v>
      </c>
      <c r="R38" s="57">
        <f t="shared" ref="R38:R55" si="26">IFERROR(K38/K$56,"")</f>
        <v>0.4566284779050736</v>
      </c>
      <c r="S38" s="57">
        <f t="shared" ref="S38:S55" si="27">IFERROR(L38/L$56,"")</f>
        <v>0.45661450924608815</v>
      </c>
      <c r="T38" s="56"/>
      <c r="U38" s="58"/>
      <c r="V38" s="58"/>
      <c r="W38" s="58"/>
      <c r="X38" s="58"/>
      <c r="Y38" s="59"/>
      <c r="Z38" s="58"/>
    </row>
    <row r="39" spans="1:26" s="39" customFormat="1" ht="14.25" customHeight="1" x14ac:dyDescent="0.2">
      <c r="A39" s="30"/>
      <c r="B39" s="8" t="s">
        <v>53</v>
      </c>
      <c r="C39" s="8"/>
      <c r="D39" s="8"/>
      <c r="E39" s="8"/>
      <c r="F39" s="53"/>
      <c r="G39" s="54">
        <v>0.4</v>
      </c>
      <c r="H39" s="54">
        <v>0.4</v>
      </c>
      <c r="I39" s="54">
        <f t="shared" si="20"/>
        <v>0.42</v>
      </c>
      <c r="J39" s="54">
        <f t="shared" si="20"/>
        <v>0.44</v>
      </c>
      <c r="K39" s="55">
        <f t="shared" si="21"/>
        <v>1.66</v>
      </c>
      <c r="L39" s="54">
        <f>ROUND(K39*1.15,2)</f>
        <v>1.91</v>
      </c>
      <c r="M39" s="56"/>
      <c r="N39" s="57">
        <f t="shared" si="22"/>
        <v>0.28571428571428575</v>
      </c>
      <c r="O39" s="57">
        <f t="shared" si="23"/>
        <v>0.26666666666666666</v>
      </c>
      <c r="P39" s="57">
        <f t="shared" si="24"/>
        <v>0.26751592356687898</v>
      </c>
      <c r="Q39" s="57">
        <f t="shared" si="25"/>
        <v>0.26829268292682928</v>
      </c>
      <c r="R39" s="57">
        <f t="shared" si="26"/>
        <v>0.27168576104746317</v>
      </c>
      <c r="S39" s="57">
        <f t="shared" si="27"/>
        <v>0.27169274537695587</v>
      </c>
      <c r="T39" s="56"/>
      <c r="U39" s="58"/>
      <c r="V39" s="58"/>
      <c r="W39" s="58"/>
      <c r="X39" s="58"/>
      <c r="Y39" s="59"/>
      <c r="Z39" s="58"/>
    </row>
    <row r="40" spans="1:26" s="39" customFormat="1" ht="14.25" customHeight="1" x14ac:dyDescent="0.2">
      <c r="A40" s="30"/>
      <c r="B40" s="8" t="s">
        <v>54</v>
      </c>
      <c r="C40" s="8"/>
      <c r="D40" s="8"/>
      <c r="E40" s="8"/>
      <c r="F40" s="53"/>
      <c r="G40" s="54">
        <v>0.4</v>
      </c>
      <c r="H40" s="54">
        <v>0.4</v>
      </c>
      <c r="I40" s="54">
        <f t="shared" si="20"/>
        <v>0.42</v>
      </c>
      <c r="J40" s="54">
        <f t="shared" si="20"/>
        <v>0.44</v>
      </c>
      <c r="K40" s="55">
        <f t="shared" si="21"/>
        <v>1.66</v>
      </c>
      <c r="L40" s="54">
        <f>ROUND(K40*1.15,2)</f>
        <v>1.91</v>
      </c>
      <c r="M40" s="56"/>
      <c r="N40" s="57">
        <f t="shared" si="22"/>
        <v>0.28571428571428575</v>
      </c>
      <c r="O40" s="57">
        <f t="shared" si="23"/>
        <v>0.26666666666666666</v>
      </c>
      <c r="P40" s="57">
        <f t="shared" si="24"/>
        <v>0.26751592356687898</v>
      </c>
      <c r="Q40" s="57">
        <f t="shared" si="25"/>
        <v>0.26829268292682928</v>
      </c>
      <c r="R40" s="57">
        <f t="shared" si="26"/>
        <v>0.27168576104746317</v>
      </c>
      <c r="S40" s="57">
        <f t="shared" si="27"/>
        <v>0.27169274537695587</v>
      </c>
      <c r="T40" s="56"/>
      <c r="U40" s="58"/>
      <c r="V40" s="58"/>
      <c r="W40" s="58"/>
      <c r="X40" s="58"/>
      <c r="Y40" s="59"/>
      <c r="Z40" s="58"/>
    </row>
    <row r="41" spans="1:26" s="39" customFormat="1" ht="14.25" customHeight="1" x14ac:dyDescent="0.2">
      <c r="A41" s="30"/>
      <c r="B41" s="8" t="s">
        <v>55</v>
      </c>
      <c r="C41" s="8"/>
      <c r="D41" s="8"/>
      <c r="E41" s="8"/>
      <c r="F41" s="53"/>
      <c r="G41" s="54">
        <v>0</v>
      </c>
      <c r="H41" s="54">
        <v>0</v>
      </c>
      <c r="I41" s="54"/>
      <c r="J41" s="54"/>
      <c r="K41" s="55">
        <f t="shared" si="21"/>
        <v>0</v>
      </c>
      <c r="L41" s="54"/>
      <c r="M41" s="56"/>
      <c r="N41" s="57">
        <f t="shared" si="22"/>
        <v>0</v>
      </c>
      <c r="O41" s="57">
        <f t="shared" si="23"/>
        <v>0</v>
      </c>
      <c r="P41" s="57">
        <f t="shared" si="24"/>
        <v>0</v>
      </c>
      <c r="Q41" s="57">
        <f t="shared" si="25"/>
        <v>0</v>
      </c>
      <c r="R41" s="57">
        <f t="shared" si="26"/>
        <v>0</v>
      </c>
      <c r="S41" s="57">
        <f t="shared" si="27"/>
        <v>0</v>
      </c>
      <c r="T41" s="56"/>
      <c r="U41" s="58"/>
      <c r="V41" s="58"/>
      <c r="W41" s="58"/>
      <c r="X41" s="58"/>
      <c r="Y41" s="59"/>
      <c r="Z41" s="58"/>
    </row>
    <row r="42" spans="1:26" s="39" customFormat="1" ht="14.25" customHeight="1" x14ac:dyDescent="0.2">
      <c r="A42" s="30"/>
      <c r="B42" s="8" t="s">
        <v>112</v>
      </c>
      <c r="C42" s="8"/>
      <c r="D42" s="8"/>
      <c r="E42" s="8"/>
      <c r="F42" s="53"/>
      <c r="G42" s="54">
        <v>0</v>
      </c>
      <c r="H42" s="54">
        <v>0</v>
      </c>
      <c r="I42" s="54"/>
      <c r="J42" s="54"/>
      <c r="K42" s="55">
        <f t="shared" si="21"/>
        <v>0</v>
      </c>
      <c r="L42" s="54"/>
      <c r="M42" s="56"/>
      <c r="N42" s="57">
        <f t="shared" si="22"/>
        <v>0</v>
      </c>
      <c r="O42" s="57">
        <f t="shared" si="23"/>
        <v>0</v>
      </c>
      <c r="P42" s="57">
        <f t="shared" si="24"/>
        <v>0</v>
      </c>
      <c r="Q42" s="57">
        <f t="shared" si="25"/>
        <v>0</v>
      </c>
      <c r="R42" s="57">
        <f t="shared" si="26"/>
        <v>0</v>
      </c>
      <c r="S42" s="57">
        <f t="shared" si="27"/>
        <v>0</v>
      </c>
      <c r="T42" s="56"/>
      <c r="U42" s="58"/>
      <c r="V42" s="58"/>
      <c r="W42" s="58"/>
      <c r="X42" s="58"/>
      <c r="Y42" s="59"/>
      <c r="Z42" s="58"/>
    </row>
    <row r="43" spans="1:26" s="39" customFormat="1" ht="14.25" customHeight="1" x14ac:dyDescent="0.2">
      <c r="A43" s="30"/>
      <c r="B43" s="8" t="s">
        <v>56</v>
      </c>
      <c r="C43" s="8"/>
      <c r="D43" s="8"/>
      <c r="E43" s="8"/>
      <c r="F43" s="53"/>
      <c r="G43" s="54">
        <v>0</v>
      </c>
      <c r="H43" s="54">
        <v>0</v>
      </c>
      <c r="I43" s="54"/>
      <c r="J43" s="54"/>
      <c r="K43" s="55">
        <f t="shared" si="21"/>
        <v>0</v>
      </c>
      <c r="L43" s="54"/>
      <c r="M43" s="56"/>
      <c r="N43" s="57">
        <f t="shared" si="22"/>
        <v>0</v>
      </c>
      <c r="O43" s="57">
        <f t="shared" si="23"/>
        <v>0</v>
      </c>
      <c r="P43" s="57">
        <f t="shared" si="24"/>
        <v>0</v>
      </c>
      <c r="Q43" s="57">
        <f t="shared" si="25"/>
        <v>0</v>
      </c>
      <c r="R43" s="57">
        <f t="shared" si="26"/>
        <v>0</v>
      </c>
      <c r="S43" s="57">
        <f t="shared" si="27"/>
        <v>0</v>
      </c>
      <c r="T43" s="56"/>
      <c r="U43" s="58"/>
      <c r="V43" s="58"/>
      <c r="W43" s="58"/>
      <c r="X43" s="58"/>
      <c r="Y43" s="59"/>
      <c r="Z43" s="58"/>
    </row>
    <row r="44" spans="1:26" s="39" customFormat="1" ht="14.25" customHeight="1" x14ac:dyDescent="0.2">
      <c r="A44" s="30"/>
      <c r="B44" s="8" t="s">
        <v>57</v>
      </c>
      <c r="C44" s="8"/>
      <c r="D44" s="8"/>
      <c r="E44" s="8"/>
      <c r="F44" s="53"/>
      <c r="G44" s="54">
        <v>0</v>
      </c>
      <c r="H44" s="54">
        <v>0</v>
      </c>
      <c r="I44" s="54"/>
      <c r="J44" s="54"/>
      <c r="K44" s="55">
        <f t="shared" si="21"/>
        <v>0</v>
      </c>
      <c r="L44" s="54"/>
      <c r="M44" s="56"/>
      <c r="N44" s="57">
        <f t="shared" si="22"/>
        <v>0</v>
      </c>
      <c r="O44" s="57">
        <f t="shared" si="23"/>
        <v>0</v>
      </c>
      <c r="P44" s="57">
        <f t="shared" si="24"/>
        <v>0</v>
      </c>
      <c r="Q44" s="57">
        <f t="shared" si="25"/>
        <v>0</v>
      </c>
      <c r="R44" s="57">
        <f t="shared" si="26"/>
        <v>0</v>
      </c>
      <c r="S44" s="57">
        <f t="shared" si="27"/>
        <v>0</v>
      </c>
      <c r="T44" s="56"/>
      <c r="U44" s="58"/>
      <c r="V44" s="58"/>
      <c r="W44" s="58"/>
      <c r="X44" s="58"/>
      <c r="Y44" s="59"/>
      <c r="Z44" s="58"/>
    </row>
    <row r="45" spans="1:26" s="39" customFormat="1" ht="14.25" customHeight="1" x14ac:dyDescent="0.2">
      <c r="A45" s="30"/>
      <c r="B45" s="8" t="s">
        <v>113</v>
      </c>
      <c r="C45" s="8"/>
      <c r="D45" s="8"/>
      <c r="E45" s="8"/>
      <c r="F45" s="53"/>
      <c r="G45" s="54">
        <v>0</v>
      </c>
      <c r="H45" s="54">
        <v>0</v>
      </c>
      <c r="I45" s="54"/>
      <c r="J45" s="54"/>
      <c r="K45" s="55">
        <f t="shared" si="21"/>
        <v>0</v>
      </c>
      <c r="L45" s="54"/>
      <c r="M45" s="56"/>
      <c r="N45" s="57">
        <f t="shared" si="22"/>
        <v>0</v>
      </c>
      <c r="O45" s="57">
        <f t="shared" si="23"/>
        <v>0</v>
      </c>
      <c r="P45" s="57">
        <f t="shared" si="24"/>
        <v>0</v>
      </c>
      <c r="Q45" s="57">
        <f t="shared" si="25"/>
        <v>0</v>
      </c>
      <c r="R45" s="57">
        <f t="shared" si="26"/>
        <v>0</v>
      </c>
      <c r="S45" s="57">
        <f t="shared" si="27"/>
        <v>0</v>
      </c>
      <c r="T45" s="56"/>
      <c r="U45" s="58"/>
      <c r="V45" s="58"/>
      <c r="W45" s="58"/>
      <c r="X45" s="58"/>
      <c r="Y45" s="59"/>
      <c r="Z45" s="58"/>
    </row>
    <row r="46" spans="1:26" s="39" customFormat="1" ht="14.25" customHeight="1" x14ac:dyDescent="0.2">
      <c r="A46" s="30"/>
      <c r="B46" s="8" t="s">
        <v>59</v>
      </c>
      <c r="C46" s="8"/>
      <c r="D46" s="8"/>
      <c r="E46" s="8"/>
      <c r="F46" s="53"/>
      <c r="G46" s="54">
        <v>0</v>
      </c>
      <c r="H46" s="54">
        <v>0</v>
      </c>
      <c r="I46" s="54"/>
      <c r="J46" s="54"/>
      <c r="K46" s="55">
        <f t="shared" si="21"/>
        <v>0</v>
      </c>
      <c r="L46" s="54"/>
      <c r="M46" s="56"/>
      <c r="N46" s="57">
        <f t="shared" si="22"/>
        <v>0</v>
      </c>
      <c r="O46" s="57">
        <f t="shared" si="23"/>
        <v>0</v>
      </c>
      <c r="P46" s="57">
        <f t="shared" si="24"/>
        <v>0</v>
      </c>
      <c r="Q46" s="57">
        <f t="shared" si="25"/>
        <v>0</v>
      </c>
      <c r="R46" s="57">
        <f t="shared" si="26"/>
        <v>0</v>
      </c>
      <c r="S46" s="57">
        <f t="shared" si="27"/>
        <v>0</v>
      </c>
      <c r="T46" s="56"/>
      <c r="U46" s="58"/>
      <c r="V46" s="58"/>
      <c r="W46" s="58"/>
      <c r="X46" s="58"/>
      <c r="Y46" s="59"/>
      <c r="Z46" s="58"/>
    </row>
    <row r="47" spans="1:26" s="39" customFormat="1" ht="14.25" customHeight="1" x14ac:dyDescent="0.2">
      <c r="A47" s="30"/>
      <c r="B47" s="8" t="s">
        <v>60</v>
      </c>
      <c r="C47" s="8"/>
      <c r="D47" s="8"/>
      <c r="E47" s="8"/>
      <c r="F47" s="53"/>
      <c r="G47" s="54">
        <v>0</v>
      </c>
      <c r="H47" s="54">
        <v>0</v>
      </c>
      <c r="I47" s="54"/>
      <c r="J47" s="54"/>
      <c r="K47" s="55">
        <f t="shared" si="21"/>
        <v>0</v>
      </c>
      <c r="L47" s="54"/>
      <c r="M47" s="56"/>
      <c r="N47" s="57">
        <f t="shared" si="22"/>
        <v>0</v>
      </c>
      <c r="O47" s="57">
        <f t="shared" si="23"/>
        <v>0</v>
      </c>
      <c r="P47" s="57">
        <f t="shared" si="24"/>
        <v>0</v>
      </c>
      <c r="Q47" s="57">
        <f t="shared" si="25"/>
        <v>0</v>
      </c>
      <c r="R47" s="57">
        <f t="shared" si="26"/>
        <v>0</v>
      </c>
      <c r="S47" s="57">
        <f t="shared" si="27"/>
        <v>0</v>
      </c>
      <c r="T47" s="56"/>
      <c r="U47" s="58"/>
      <c r="V47" s="58"/>
      <c r="W47" s="58"/>
      <c r="X47" s="58"/>
      <c r="Y47" s="59"/>
      <c r="Z47" s="58"/>
    </row>
    <row r="48" spans="1:26" s="39" customFormat="1" ht="14.25" customHeight="1" x14ac:dyDescent="0.2">
      <c r="A48" s="30"/>
      <c r="B48" s="8" t="s">
        <v>61</v>
      </c>
      <c r="C48" s="8"/>
      <c r="D48" s="8"/>
      <c r="E48" s="8"/>
      <c r="F48" s="53"/>
      <c r="G48" s="54">
        <v>0</v>
      </c>
      <c r="H48" s="54">
        <v>0</v>
      </c>
      <c r="I48" s="54"/>
      <c r="J48" s="54"/>
      <c r="K48" s="55">
        <f t="shared" si="21"/>
        <v>0</v>
      </c>
      <c r="L48" s="54"/>
      <c r="M48" s="56"/>
      <c r="N48" s="57">
        <f t="shared" si="22"/>
        <v>0</v>
      </c>
      <c r="O48" s="57">
        <f t="shared" si="23"/>
        <v>0</v>
      </c>
      <c r="P48" s="57">
        <f t="shared" si="24"/>
        <v>0</v>
      </c>
      <c r="Q48" s="57">
        <f t="shared" si="25"/>
        <v>0</v>
      </c>
      <c r="R48" s="57">
        <f t="shared" si="26"/>
        <v>0</v>
      </c>
      <c r="S48" s="57">
        <f t="shared" si="27"/>
        <v>0</v>
      </c>
      <c r="T48" s="56"/>
      <c r="U48" s="58"/>
      <c r="V48" s="58"/>
      <c r="W48" s="58"/>
      <c r="X48" s="58"/>
      <c r="Y48" s="59"/>
      <c r="Z48" s="58"/>
    </row>
    <row r="49" spans="1:26" s="39" customFormat="1" ht="14.25" customHeight="1" x14ac:dyDescent="0.2">
      <c r="A49" s="30"/>
      <c r="B49" s="8" t="s">
        <v>62</v>
      </c>
      <c r="C49" s="8"/>
      <c r="D49" s="8"/>
      <c r="E49" s="8"/>
      <c r="F49" s="53"/>
      <c r="G49" s="54">
        <v>0</v>
      </c>
      <c r="H49" s="54">
        <v>0</v>
      </c>
      <c r="I49" s="54"/>
      <c r="J49" s="54"/>
      <c r="K49" s="55">
        <f t="shared" si="21"/>
        <v>0</v>
      </c>
      <c r="L49" s="54"/>
      <c r="M49" s="56"/>
      <c r="N49" s="57">
        <f t="shared" si="22"/>
        <v>0</v>
      </c>
      <c r="O49" s="57">
        <f t="shared" si="23"/>
        <v>0</v>
      </c>
      <c r="P49" s="57">
        <f t="shared" si="24"/>
        <v>0</v>
      </c>
      <c r="Q49" s="57">
        <f t="shared" si="25"/>
        <v>0</v>
      </c>
      <c r="R49" s="57">
        <f t="shared" si="26"/>
        <v>0</v>
      </c>
      <c r="S49" s="57">
        <f t="shared" si="27"/>
        <v>0</v>
      </c>
      <c r="T49" s="56"/>
      <c r="U49" s="58"/>
      <c r="V49" s="58"/>
      <c r="W49" s="58"/>
      <c r="X49" s="58"/>
      <c r="Y49" s="59"/>
      <c r="Z49" s="58"/>
    </row>
    <row r="50" spans="1:26" s="39" customFormat="1" ht="14.25" customHeight="1" x14ac:dyDescent="0.2">
      <c r="A50" s="30"/>
      <c r="B50" s="8" t="s">
        <v>63</v>
      </c>
      <c r="C50" s="8"/>
      <c r="D50" s="8"/>
      <c r="E50" s="8"/>
      <c r="F50" s="53"/>
      <c r="G50" s="54">
        <v>0</v>
      </c>
      <c r="H50" s="54">
        <v>0</v>
      </c>
      <c r="I50" s="54"/>
      <c r="J50" s="54"/>
      <c r="K50" s="55">
        <f t="shared" si="21"/>
        <v>0</v>
      </c>
      <c r="L50" s="54"/>
      <c r="M50" s="56"/>
      <c r="N50" s="57">
        <f t="shared" si="22"/>
        <v>0</v>
      </c>
      <c r="O50" s="57">
        <f t="shared" si="23"/>
        <v>0</v>
      </c>
      <c r="P50" s="57">
        <f t="shared" si="24"/>
        <v>0</v>
      </c>
      <c r="Q50" s="57">
        <f t="shared" si="25"/>
        <v>0</v>
      </c>
      <c r="R50" s="57">
        <f t="shared" si="26"/>
        <v>0</v>
      </c>
      <c r="S50" s="57">
        <f t="shared" si="27"/>
        <v>0</v>
      </c>
      <c r="T50" s="56"/>
      <c r="U50" s="58"/>
      <c r="V50" s="58"/>
      <c r="W50" s="58"/>
      <c r="X50" s="58"/>
      <c r="Y50" s="59"/>
      <c r="Z50" s="58"/>
    </row>
    <row r="51" spans="1:26" s="39" customFormat="1" ht="14.25" customHeight="1" x14ac:dyDescent="0.2">
      <c r="A51" s="30"/>
      <c r="B51" s="8" t="s">
        <v>64</v>
      </c>
      <c r="C51" s="8"/>
      <c r="D51" s="8"/>
      <c r="E51" s="8"/>
      <c r="F51" s="53"/>
      <c r="G51" s="54">
        <v>0</v>
      </c>
      <c r="H51" s="54">
        <v>0</v>
      </c>
      <c r="I51" s="54"/>
      <c r="J51" s="54"/>
      <c r="K51" s="55">
        <f t="shared" si="21"/>
        <v>0</v>
      </c>
      <c r="L51" s="54"/>
      <c r="M51" s="56"/>
      <c r="N51" s="57">
        <f t="shared" si="22"/>
        <v>0</v>
      </c>
      <c r="O51" s="57">
        <f t="shared" si="23"/>
        <v>0</v>
      </c>
      <c r="P51" s="57">
        <f t="shared" si="24"/>
        <v>0</v>
      </c>
      <c r="Q51" s="57">
        <f t="shared" si="25"/>
        <v>0</v>
      </c>
      <c r="R51" s="57">
        <f t="shared" si="26"/>
        <v>0</v>
      </c>
      <c r="S51" s="57">
        <f t="shared" si="27"/>
        <v>0</v>
      </c>
      <c r="T51" s="56"/>
      <c r="U51" s="58"/>
      <c r="V51" s="58"/>
      <c r="W51" s="58"/>
      <c r="X51" s="58"/>
      <c r="Y51" s="59"/>
      <c r="Z51" s="58"/>
    </row>
    <row r="52" spans="1:26" s="39" customFormat="1" ht="14.25" customHeight="1" x14ac:dyDescent="0.2">
      <c r="A52" s="30"/>
      <c r="B52" s="8" t="s">
        <v>65</v>
      </c>
      <c r="C52" s="8"/>
      <c r="D52" s="8"/>
      <c r="E52" s="8"/>
      <c r="F52" s="53"/>
      <c r="G52" s="54">
        <v>0</v>
      </c>
      <c r="H52" s="54">
        <v>0</v>
      </c>
      <c r="I52" s="54"/>
      <c r="J52" s="54"/>
      <c r="K52" s="55">
        <f t="shared" si="21"/>
        <v>0</v>
      </c>
      <c r="L52" s="54"/>
      <c r="M52" s="56"/>
      <c r="N52" s="57">
        <f t="shared" si="22"/>
        <v>0</v>
      </c>
      <c r="O52" s="57">
        <f t="shared" si="23"/>
        <v>0</v>
      </c>
      <c r="P52" s="57">
        <f t="shared" si="24"/>
        <v>0</v>
      </c>
      <c r="Q52" s="57">
        <f t="shared" si="25"/>
        <v>0</v>
      </c>
      <c r="R52" s="57">
        <f t="shared" si="26"/>
        <v>0</v>
      </c>
      <c r="S52" s="57">
        <f t="shared" si="27"/>
        <v>0</v>
      </c>
      <c r="T52" s="56"/>
      <c r="U52" s="58"/>
      <c r="V52" s="58"/>
      <c r="W52" s="58"/>
      <c r="X52" s="58"/>
      <c r="Y52" s="59"/>
      <c r="Z52" s="58"/>
    </row>
    <row r="53" spans="1:26" s="39" customFormat="1" ht="14.25" customHeight="1" x14ac:dyDescent="0.2">
      <c r="A53" s="30"/>
      <c r="B53" s="8" t="s">
        <v>114</v>
      </c>
      <c r="C53" s="8"/>
      <c r="D53" s="8"/>
      <c r="E53" s="8"/>
      <c r="F53" s="53"/>
      <c r="G53" s="54">
        <v>0</v>
      </c>
      <c r="H53" s="54">
        <v>0</v>
      </c>
      <c r="I53" s="54"/>
      <c r="J53" s="54"/>
      <c r="K53" s="55">
        <f t="shared" si="21"/>
        <v>0</v>
      </c>
      <c r="L53" s="54"/>
      <c r="M53" s="56"/>
      <c r="N53" s="57">
        <f t="shared" si="22"/>
        <v>0</v>
      </c>
      <c r="O53" s="57">
        <f t="shared" si="23"/>
        <v>0</v>
      </c>
      <c r="P53" s="57">
        <f t="shared" si="24"/>
        <v>0</v>
      </c>
      <c r="Q53" s="57">
        <f t="shared" si="25"/>
        <v>0</v>
      </c>
      <c r="R53" s="57">
        <f t="shared" si="26"/>
        <v>0</v>
      </c>
      <c r="S53" s="57">
        <f t="shared" si="27"/>
        <v>0</v>
      </c>
      <c r="T53" s="56"/>
      <c r="U53" s="58"/>
      <c r="V53" s="58"/>
      <c r="W53" s="58"/>
      <c r="X53" s="58"/>
      <c r="Y53" s="59"/>
      <c r="Z53" s="58"/>
    </row>
    <row r="54" spans="1:26" s="39" customFormat="1" ht="14.25" customHeight="1" x14ac:dyDescent="0.2">
      <c r="A54" s="30"/>
      <c r="B54" s="8" t="s">
        <v>66</v>
      </c>
      <c r="C54" s="8"/>
      <c r="D54" s="8"/>
      <c r="E54" s="8"/>
      <c r="F54" s="53"/>
      <c r="G54" s="54">
        <v>0</v>
      </c>
      <c r="H54" s="54">
        <v>0</v>
      </c>
      <c r="I54" s="54"/>
      <c r="J54" s="54"/>
      <c r="K54" s="55">
        <f t="shared" si="21"/>
        <v>0</v>
      </c>
      <c r="L54" s="54"/>
      <c r="M54" s="56"/>
      <c r="N54" s="57">
        <f t="shared" si="22"/>
        <v>0</v>
      </c>
      <c r="O54" s="57">
        <f t="shared" si="23"/>
        <v>0</v>
      </c>
      <c r="P54" s="57">
        <f t="shared" si="24"/>
        <v>0</v>
      </c>
      <c r="Q54" s="57">
        <f t="shared" si="25"/>
        <v>0</v>
      </c>
      <c r="R54" s="57">
        <f t="shared" si="26"/>
        <v>0</v>
      </c>
      <c r="S54" s="57">
        <f t="shared" si="27"/>
        <v>0</v>
      </c>
      <c r="T54" s="56"/>
      <c r="U54" s="58"/>
      <c r="V54" s="58"/>
      <c r="W54" s="58"/>
      <c r="X54" s="58"/>
      <c r="Y54" s="59"/>
      <c r="Z54" s="58"/>
    </row>
    <row r="55" spans="1:26" s="39" customFormat="1" ht="14.25" customHeight="1" x14ac:dyDescent="0.2">
      <c r="A55" s="30"/>
      <c r="B55" s="4" t="s">
        <v>108</v>
      </c>
      <c r="C55" s="4"/>
      <c r="D55" s="3"/>
      <c r="E55" s="3"/>
      <c r="F55" s="65"/>
      <c r="G55" s="54">
        <v>0</v>
      </c>
      <c r="H55" s="54">
        <v>0</v>
      </c>
      <c r="I55" s="54"/>
      <c r="J55" s="54"/>
      <c r="K55" s="55">
        <f t="shared" si="21"/>
        <v>0</v>
      </c>
      <c r="L55" s="54"/>
      <c r="M55" s="56"/>
      <c r="N55" s="57">
        <f t="shared" si="22"/>
        <v>0</v>
      </c>
      <c r="O55" s="57">
        <f t="shared" si="23"/>
        <v>0</v>
      </c>
      <c r="P55" s="57">
        <f t="shared" si="24"/>
        <v>0</v>
      </c>
      <c r="Q55" s="57">
        <f t="shared" si="25"/>
        <v>0</v>
      </c>
      <c r="R55" s="57">
        <f t="shared" si="26"/>
        <v>0</v>
      </c>
      <c r="S55" s="57">
        <f t="shared" si="27"/>
        <v>0</v>
      </c>
      <c r="T55" s="56"/>
      <c r="U55" s="58"/>
      <c r="V55" s="58"/>
      <c r="W55" s="58"/>
      <c r="X55" s="58"/>
      <c r="Y55" s="59"/>
      <c r="Z55" s="58"/>
    </row>
    <row r="56" spans="1:26" s="39" customFormat="1" ht="14.25" customHeight="1" x14ac:dyDescent="0.2">
      <c r="A56" s="30"/>
      <c r="B56" s="7" t="s">
        <v>115</v>
      </c>
      <c r="C56" s="7"/>
      <c r="D56" s="7"/>
      <c r="E56" s="7"/>
      <c r="F56" s="61"/>
      <c r="G56" s="62">
        <f t="shared" ref="G56:L56" si="28">SUM(G38:G55)</f>
        <v>1.4</v>
      </c>
      <c r="H56" s="62">
        <f t="shared" si="28"/>
        <v>1.5</v>
      </c>
      <c r="I56" s="62">
        <f t="shared" si="28"/>
        <v>1.5699999999999998</v>
      </c>
      <c r="J56" s="62">
        <f t="shared" si="28"/>
        <v>1.64</v>
      </c>
      <c r="K56" s="62">
        <f t="shared" si="28"/>
        <v>6.11</v>
      </c>
      <c r="L56" s="62">
        <f t="shared" si="28"/>
        <v>7.03</v>
      </c>
      <c r="M56" s="31"/>
      <c r="N56" s="51">
        <f t="shared" ref="N56:S56" si="29">SUM(N38:N55)</f>
        <v>1.0000000000000002</v>
      </c>
      <c r="O56" s="51">
        <f t="shared" si="29"/>
        <v>1</v>
      </c>
      <c r="P56" s="51">
        <f t="shared" si="29"/>
        <v>1</v>
      </c>
      <c r="Q56" s="51">
        <f t="shared" si="29"/>
        <v>1</v>
      </c>
      <c r="R56" s="51">
        <f t="shared" si="29"/>
        <v>1</v>
      </c>
      <c r="S56" s="51">
        <f t="shared" si="29"/>
        <v>0.99999999999999989</v>
      </c>
      <c r="T56" s="31"/>
      <c r="U56" s="63"/>
      <c r="V56" s="63"/>
      <c r="W56" s="63"/>
      <c r="X56" s="63"/>
      <c r="Y56" s="63"/>
      <c r="Z56" s="63"/>
    </row>
    <row r="57" spans="1:26" s="39" customFormat="1" ht="14.25" customHeight="1" x14ac:dyDescent="0.2">
      <c r="A57" s="30"/>
      <c r="B57" s="66" t="s">
        <v>116</v>
      </c>
      <c r="C57" s="31"/>
      <c r="D57" s="31"/>
      <c r="E57" s="31"/>
      <c r="F57" s="31"/>
      <c r="G57" s="35" t="s">
        <v>77</v>
      </c>
      <c r="H57" s="35" t="s">
        <v>77</v>
      </c>
      <c r="I57" s="35" t="s">
        <v>77</v>
      </c>
      <c r="J57" s="35" t="s">
        <v>77</v>
      </c>
      <c r="K57" s="35" t="s">
        <v>77</v>
      </c>
      <c r="L57" s="35" t="s">
        <v>78</v>
      </c>
      <c r="M57" s="64"/>
      <c r="N57" s="35" t="s">
        <v>77</v>
      </c>
      <c r="O57" s="35" t="s">
        <v>77</v>
      </c>
      <c r="P57" s="35" t="s">
        <v>77</v>
      </c>
      <c r="Q57" s="35" t="s">
        <v>77</v>
      </c>
      <c r="R57" s="35" t="s">
        <v>77</v>
      </c>
      <c r="S57" s="35" t="s">
        <v>78</v>
      </c>
      <c r="T57" s="31"/>
      <c r="U57" s="35" t="s">
        <v>77</v>
      </c>
      <c r="V57" s="35" t="s">
        <v>77</v>
      </c>
      <c r="W57" s="35" t="s">
        <v>77</v>
      </c>
      <c r="X57" s="35" t="s">
        <v>77</v>
      </c>
      <c r="Y57" s="35" t="s">
        <v>77</v>
      </c>
      <c r="Z57" s="35" t="s">
        <v>78</v>
      </c>
    </row>
    <row r="58" spans="1:26" s="39" customFormat="1" ht="14.25" customHeight="1" x14ac:dyDescent="0.2">
      <c r="A58" s="30"/>
      <c r="B58" s="5" t="s">
        <v>117</v>
      </c>
      <c r="C58" s="5"/>
      <c r="D58" s="5"/>
      <c r="E58" s="5"/>
      <c r="F58" s="67" t="s">
        <v>93</v>
      </c>
      <c r="G58" s="37" t="s">
        <v>80</v>
      </c>
      <c r="H58" s="37" t="s">
        <v>81</v>
      </c>
      <c r="I58" s="37" t="s">
        <v>82</v>
      </c>
      <c r="J58" s="37" t="s">
        <v>83</v>
      </c>
      <c r="K58" s="37">
        <v>2025</v>
      </c>
      <c r="L58" s="37">
        <v>2026</v>
      </c>
      <c r="M58" s="31"/>
      <c r="N58" s="37" t="s">
        <v>80</v>
      </c>
      <c r="O58" s="37" t="s">
        <v>81</v>
      </c>
      <c r="P58" s="37" t="s">
        <v>82</v>
      </c>
      <c r="Q58" s="37" t="s">
        <v>83</v>
      </c>
      <c r="R58" s="37">
        <v>2025</v>
      </c>
      <c r="S58" s="37">
        <v>2026</v>
      </c>
      <c r="T58" s="31"/>
      <c r="U58" s="37" t="s">
        <v>80</v>
      </c>
      <c r="V58" s="37" t="s">
        <v>81</v>
      </c>
      <c r="W58" s="37" t="s">
        <v>82</v>
      </c>
      <c r="X58" s="37" t="s">
        <v>83</v>
      </c>
      <c r="Y58" s="37">
        <v>2025</v>
      </c>
      <c r="Z58" s="37">
        <v>2026</v>
      </c>
    </row>
    <row r="59" spans="1:26" s="39" customFormat="1" ht="14.25" customHeight="1" x14ac:dyDescent="0.2">
      <c r="A59" s="30"/>
      <c r="B59" s="8" t="s">
        <v>118</v>
      </c>
      <c r="C59" s="8"/>
      <c r="D59" s="8"/>
      <c r="E59" s="8"/>
      <c r="F59" s="53"/>
      <c r="G59" s="54">
        <v>25</v>
      </c>
      <c r="H59" s="54">
        <v>30</v>
      </c>
      <c r="I59" s="54">
        <f t="shared" ref="I59:J61" si="30">ROUND(H59*1.04,2)</f>
        <v>31.2</v>
      </c>
      <c r="J59" s="54">
        <f t="shared" si="30"/>
        <v>32.450000000000003</v>
      </c>
      <c r="K59" s="55">
        <f t="shared" ref="K59:K78" si="31">SUM(G59:J59)</f>
        <v>118.65</v>
      </c>
      <c r="L59" s="54">
        <f>ROUND(K59*1.15,2)</f>
        <v>136.44999999999999</v>
      </c>
      <c r="M59" s="56"/>
      <c r="N59" s="57">
        <f t="shared" ref="N59:N78" si="32">IFERROR(G59/G$79,"")</f>
        <v>0.31645569620253167</v>
      </c>
      <c r="O59" s="57">
        <f t="shared" ref="O59:O78" si="33">IFERROR(H59/H$79,"")</f>
        <v>0.34090909090909088</v>
      </c>
      <c r="P59" s="57">
        <f t="shared" ref="P59:P78" si="34">IFERROR(I59/I$79,"")</f>
        <v>0.34090909090909088</v>
      </c>
      <c r="Q59" s="57">
        <f t="shared" ref="Q59:Q78" si="35">IFERROR(J59/J$79,"")</f>
        <v>0.34089715306229651</v>
      </c>
      <c r="R59" s="57">
        <f t="shared" ref="R59:R78" si="36">IFERROR(K59/K$79,"")</f>
        <v>0.33544429052048286</v>
      </c>
      <c r="S59" s="57">
        <f t="shared" ref="S59:S78" si="37">IFERROR(L59/L$79,"")</f>
        <v>0.33544755021265088</v>
      </c>
      <c r="T59" s="56"/>
      <c r="U59" s="58"/>
      <c r="V59" s="58"/>
      <c r="W59" s="58"/>
      <c r="X59" s="58"/>
      <c r="Y59" s="59"/>
      <c r="Z59" s="58"/>
    </row>
    <row r="60" spans="1:26" s="39" customFormat="1" ht="14.25" customHeight="1" x14ac:dyDescent="0.2">
      <c r="A60" s="30"/>
      <c r="B60" s="8" t="s">
        <v>119</v>
      </c>
      <c r="C60" s="8"/>
      <c r="D60" s="8"/>
      <c r="E60" s="8"/>
      <c r="F60" s="53"/>
      <c r="G60" s="54">
        <v>46</v>
      </c>
      <c r="H60" s="54">
        <v>48</v>
      </c>
      <c r="I60" s="54">
        <f t="shared" si="30"/>
        <v>49.92</v>
      </c>
      <c r="J60" s="54">
        <f t="shared" si="30"/>
        <v>51.92</v>
      </c>
      <c r="K60" s="55">
        <f t="shared" si="31"/>
        <v>195.84000000000003</v>
      </c>
      <c r="L60" s="54">
        <f>ROUND(K60*1.15,2)</f>
        <v>225.22</v>
      </c>
      <c r="M60" s="56"/>
      <c r="N60" s="57">
        <f t="shared" si="32"/>
        <v>0.58227848101265822</v>
      </c>
      <c r="O60" s="57">
        <f t="shared" si="33"/>
        <v>0.54545454545454541</v>
      </c>
      <c r="P60" s="57">
        <f t="shared" si="34"/>
        <v>0.54545454545454541</v>
      </c>
      <c r="Q60" s="57">
        <f t="shared" si="35"/>
        <v>0.54543544489967433</v>
      </c>
      <c r="R60" s="57">
        <f t="shared" si="36"/>
        <v>0.5536739136580815</v>
      </c>
      <c r="S60" s="57">
        <f t="shared" si="37"/>
        <v>0.55367898320918463</v>
      </c>
      <c r="T60" s="56"/>
      <c r="U60" s="58"/>
      <c r="V60" s="58"/>
      <c r="W60" s="58"/>
      <c r="X60" s="58"/>
      <c r="Y60" s="59"/>
      <c r="Z60" s="58"/>
    </row>
    <row r="61" spans="1:26" s="39" customFormat="1" ht="14.25" customHeight="1" x14ac:dyDescent="0.2">
      <c r="A61" s="30"/>
      <c r="B61" s="8" t="s">
        <v>120</v>
      </c>
      <c r="C61" s="8"/>
      <c r="D61" s="8"/>
      <c r="E61" s="8"/>
      <c r="F61" s="53"/>
      <c r="G61" s="54">
        <v>4</v>
      </c>
      <c r="H61" s="54">
        <v>5</v>
      </c>
      <c r="I61" s="54">
        <f t="shared" si="30"/>
        <v>5.2</v>
      </c>
      <c r="J61" s="54">
        <f t="shared" si="30"/>
        <v>5.41</v>
      </c>
      <c r="K61" s="55">
        <f t="shared" si="31"/>
        <v>19.61</v>
      </c>
      <c r="L61" s="54">
        <f>ROUND(K61*1.15,2)</f>
        <v>22.55</v>
      </c>
      <c r="M61" s="56"/>
      <c r="N61" s="57">
        <f t="shared" si="32"/>
        <v>5.0632911392405063E-2</v>
      </c>
      <c r="O61" s="57">
        <f t="shared" si="33"/>
        <v>5.6818181818181816E-2</v>
      </c>
      <c r="P61" s="57">
        <f t="shared" si="34"/>
        <v>5.6818181818181816E-2</v>
      </c>
      <c r="Q61" s="57">
        <f t="shared" si="35"/>
        <v>5.6833701019014603E-2</v>
      </c>
      <c r="R61" s="57">
        <f t="shared" si="36"/>
        <v>5.544089791071781E-2</v>
      </c>
      <c r="S61" s="57">
        <f t="shared" si="37"/>
        <v>5.5436733289082288E-2</v>
      </c>
      <c r="T61" s="56"/>
      <c r="U61" s="58"/>
      <c r="V61" s="58"/>
      <c r="W61" s="58"/>
      <c r="X61" s="58"/>
      <c r="Y61" s="59"/>
      <c r="Z61" s="58"/>
    </row>
    <row r="62" spans="1:26" s="39" customFormat="1" ht="14.25" customHeight="1" x14ac:dyDescent="0.2">
      <c r="A62" s="30"/>
      <c r="B62" s="8" t="s">
        <v>121</v>
      </c>
      <c r="C62" s="8"/>
      <c r="D62" s="8"/>
      <c r="E62" s="8"/>
      <c r="F62" s="53"/>
      <c r="G62" s="54">
        <v>0</v>
      </c>
      <c r="H62" s="54">
        <v>0</v>
      </c>
      <c r="I62" s="54"/>
      <c r="J62" s="54"/>
      <c r="K62" s="55">
        <f t="shared" si="31"/>
        <v>0</v>
      </c>
      <c r="L62" s="54"/>
      <c r="M62" s="56"/>
      <c r="N62" s="57">
        <f t="shared" si="32"/>
        <v>0</v>
      </c>
      <c r="O62" s="57">
        <f t="shared" si="33"/>
        <v>0</v>
      </c>
      <c r="P62" s="57">
        <f t="shared" si="34"/>
        <v>0</v>
      </c>
      <c r="Q62" s="57">
        <f t="shared" si="35"/>
        <v>0</v>
      </c>
      <c r="R62" s="57">
        <f t="shared" si="36"/>
        <v>0</v>
      </c>
      <c r="S62" s="57">
        <f t="shared" si="37"/>
        <v>0</v>
      </c>
      <c r="T62" s="56"/>
      <c r="U62" s="58"/>
      <c r="V62" s="58"/>
      <c r="W62" s="58"/>
      <c r="X62" s="58"/>
      <c r="Y62" s="59"/>
      <c r="Z62" s="58"/>
    </row>
    <row r="63" spans="1:26" s="39" customFormat="1" ht="14.25" customHeight="1" x14ac:dyDescent="0.2">
      <c r="A63" s="30"/>
      <c r="B63" s="8" t="s">
        <v>122</v>
      </c>
      <c r="C63" s="8"/>
      <c r="D63" s="8"/>
      <c r="E63" s="8"/>
      <c r="F63" s="53"/>
      <c r="G63" s="54">
        <v>0</v>
      </c>
      <c r="H63" s="54">
        <v>0</v>
      </c>
      <c r="I63" s="54"/>
      <c r="J63" s="54"/>
      <c r="K63" s="55">
        <f t="shared" si="31"/>
        <v>0</v>
      </c>
      <c r="L63" s="54"/>
      <c r="M63" s="56"/>
      <c r="N63" s="57">
        <f t="shared" si="32"/>
        <v>0</v>
      </c>
      <c r="O63" s="57">
        <f t="shared" si="33"/>
        <v>0</v>
      </c>
      <c r="P63" s="57">
        <f t="shared" si="34"/>
        <v>0</v>
      </c>
      <c r="Q63" s="57">
        <f t="shared" si="35"/>
        <v>0</v>
      </c>
      <c r="R63" s="57">
        <f t="shared" si="36"/>
        <v>0</v>
      </c>
      <c r="S63" s="57">
        <f t="shared" si="37"/>
        <v>0</v>
      </c>
      <c r="T63" s="56"/>
      <c r="U63" s="58"/>
      <c r="V63" s="58"/>
      <c r="W63" s="58"/>
      <c r="X63" s="58"/>
      <c r="Y63" s="59"/>
      <c r="Z63" s="58"/>
    </row>
    <row r="64" spans="1:26" s="39" customFormat="1" ht="14.25" customHeight="1" x14ac:dyDescent="0.2">
      <c r="A64" s="30"/>
      <c r="B64" s="8" t="s">
        <v>123</v>
      </c>
      <c r="C64" s="8"/>
      <c r="D64" s="8"/>
      <c r="E64" s="8"/>
      <c r="F64" s="53"/>
      <c r="G64" s="54">
        <v>0</v>
      </c>
      <c r="H64" s="54">
        <v>0</v>
      </c>
      <c r="I64" s="54"/>
      <c r="J64" s="54"/>
      <c r="K64" s="55">
        <f t="shared" si="31"/>
        <v>0</v>
      </c>
      <c r="L64" s="54"/>
      <c r="M64" s="56"/>
      <c r="N64" s="57">
        <f t="shared" si="32"/>
        <v>0</v>
      </c>
      <c r="O64" s="57">
        <f t="shared" si="33"/>
        <v>0</v>
      </c>
      <c r="P64" s="57">
        <f t="shared" si="34"/>
        <v>0</v>
      </c>
      <c r="Q64" s="57">
        <f t="shared" si="35"/>
        <v>0</v>
      </c>
      <c r="R64" s="57">
        <f t="shared" si="36"/>
        <v>0</v>
      </c>
      <c r="S64" s="57">
        <f t="shared" si="37"/>
        <v>0</v>
      </c>
      <c r="T64" s="56"/>
      <c r="U64" s="58"/>
      <c r="V64" s="58"/>
      <c r="W64" s="58"/>
      <c r="X64" s="58"/>
      <c r="Y64" s="59"/>
      <c r="Z64" s="58"/>
    </row>
    <row r="65" spans="1:26" s="39" customFormat="1" ht="14.25" customHeight="1" x14ac:dyDescent="0.2">
      <c r="A65" s="30"/>
      <c r="B65" s="8" t="s">
        <v>124</v>
      </c>
      <c r="C65" s="8"/>
      <c r="D65" s="8"/>
      <c r="E65" s="8"/>
      <c r="F65" s="53"/>
      <c r="G65" s="54">
        <v>0</v>
      </c>
      <c r="H65" s="54">
        <v>0</v>
      </c>
      <c r="I65" s="54"/>
      <c r="J65" s="54"/>
      <c r="K65" s="55">
        <f t="shared" si="31"/>
        <v>0</v>
      </c>
      <c r="L65" s="54"/>
      <c r="M65" s="56"/>
      <c r="N65" s="57">
        <f t="shared" si="32"/>
        <v>0</v>
      </c>
      <c r="O65" s="57">
        <f t="shared" si="33"/>
        <v>0</v>
      </c>
      <c r="P65" s="57">
        <f t="shared" si="34"/>
        <v>0</v>
      </c>
      <c r="Q65" s="57">
        <f t="shared" si="35"/>
        <v>0</v>
      </c>
      <c r="R65" s="57">
        <f t="shared" si="36"/>
        <v>0</v>
      </c>
      <c r="S65" s="57">
        <f t="shared" si="37"/>
        <v>0</v>
      </c>
      <c r="T65" s="56"/>
      <c r="U65" s="58"/>
      <c r="V65" s="58"/>
      <c r="W65" s="58"/>
      <c r="X65" s="58"/>
      <c r="Y65" s="59"/>
      <c r="Z65" s="58"/>
    </row>
    <row r="66" spans="1:26" s="39" customFormat="1" ht="14.25" customHeight="1" x14ac:dyDescent="0.2">
      <c r="A66" s="30"/>
      <c r="B66" s="8" t="s">
        <v>125</v>
      </c>
      <c r="C66" s="8"/>
      <c r="D66" s="8"/>
      <c r="E66" s="8"/>
      <c r="F66" s="53"/>
      <c r="G66" s="54">
        <v>0</v>
      </c>
      <c r="H66" s="54">
        <v>0</v>
      </c>
      <c r="I66" s="54"/>
      <c r="J66" s="54"/>
      <c r="K66" s="55">
        <f t="shared" si="31"/>
        <v>0</v>
      </c>
      <c r="L66" s="54"/>
      <c r="M66" s="56"/>
      <c r="N66" s="57">
        <f t="shared" si="32"/>
        <v>0</v>
      </c>
      <c r="O66" s="57">
        <f t="shared" si="33"/>
        <v>0</v>
      </c>
      <c r="P66" s="57">
        <f t="shared" si="34"/>
        <v>0</v>
      </c>
      <c r="Q66" s="57">
        <f t="shared" si="35"/>
        <v>0</v>
      </c>
      <c r="R66" s="57">
        <f t="shared" si="36"/>
        <v>0</v>
      </c>
      <c r="S66" s="57">
        <f t="shared" si="37"/>
        <v>0</v>
      </c>
      <c r="T66" s="56"/>
      <c r="U66" s="58"/>
      <c r="V66" s="58"/>
      <c r="W66" s="58"/>
      <c r="X66" s="58"/>
      <c r="Y66" s="59"/>
      <c r="Z66" s="58"/>
    </row>
    <row r="67" spans="1:26" s="39" customFormat="1" ht="14.25" customHeight="1" x14ac:dyDescent="0.2">
      <c r="A67" s="30"/>
      <c r="B67" s="8" t="s">
        <v>126</v>
      </c>
      <c r="C67" s="8"/>
      <c r="D67" s="8"/>
      <c r="E67" s="8"/>
      <c r="F67" s="53"/>
      <c r="G67" s="54">
        <v>0</v>
      </c>
      <c r="H67" s="54">
        <v>0</v>
      </c>
      <c r="I67" s="54"/>
      <c r="J67" s="54"/>
      <c r="K67" s="55">
        <f t="shared" si="31"/>
        <v>0</v>
      </c>
      <c r="L67" s="54"/>
      <c r="M67" s="56"/>
      <c r="N67" s="57">
        <f t="shared" si="32"/>
        <v>0</v>
      </c>
      <c r="O67" s="57">
        <f t="shared" si="33"/>
        <v>0</v>
      </c>
      <c r="P67" s="57">
        <f t="shared" si="34"/>
        <v>0</v>
      </c>
      <c r="Q67" s="57">
        <f t="shared" si="35"/>
        <v>0</v>
      </c>
      <c r="R67" s="57">
        <f t="shared" si="36"/>
        <v>0</v>
      </c>
      <c r="S67" s="57">
        <f t="shared" si="37"/>
        <v>0</v>
      </c>
      <c r="T67" s="56"/>
      <c r="U67" s="58"/>
      <c r="V67" s="58"/>
      <c r="W67" s="58"/>
      <c r="X67" s="58"/>
      <c r="Y67" s="59"/>
      <c r="Z67" s="58"/>
    </row>
    <row r="68" spans="1:26" s="39" customFormat="1" ht="14.25" customHeight="1" x14ac:dyDescent="0.2">
      <c r="A68" s="30"/>
      <c r="B68" s="8" t="s">
        <v>127</v>
      </c>
      <c r="C68" s="8"/>
      <c r="D68" s="8"/>
      <c r="E68" s="8"/>
      <c r="F68" s="53"/>
      <c r="G68" s="54">
        <v>0</v>
      </c>
      <c r="H68" s="54">
        <v>0</v>
      </c>
      <c r="I68" s="54"/>
      <c r="J68" s="54"/>
      <c r="K68" s="55">
        <f t="shared" si="31"/>
        <v>0</v>
      </c>
      <c r="L68" s="54"/>
      <c r="M68" s="56"/>
      <c r="N68" s="57">
        <f t="shared" si="32"/>
        <v>0</v>
      </c>
      <c r="O68" s="57">
        <f t="shared" si="33"/>
        <v>0</v>
      </c>
      <c r="P68" s="57">
        <f t="shared" si="34"/>
        <v>0</v>
      </c>
      <c r="Q68" s="57">
        <f t="shared" si="35"/>
        <v>0</v>
      </c>
      <c r="R68" s="57">
        <f t="shared" si="36"/>
        <v>0</v>
      </c>
      <c r="S68" s="57">
        <f t="shared" si="37"/>
        <v>0</v>
      </c>
      <c r="T68" s="56"/>
      <c r="U68" s="58"/>
      <c r="V68" s="58"/>
      <c r="W68" s="58"/>
      <c r="X68" s="58"/>
      <c r="Y68" s="59"/>
      <c r="Z68" s="58"/>
    </row>
    <row r="69" spans="1:26" s="39" customFormat="1" ht="14.25" customHeight="1" x14ac:dyDescent="0.2">
      <c r="A69" s="30"/>
      <c r="B69" s="8" t="s">
        <v>128</v>
      </c>
      <c r="C69" s="8"/>
      <c r="D69" s="8"/>
      <c r="E69" s="8"/>
      <c r="F69" s="53"/>
      <c r="G69" s="54">
        <v>0</v>
      </c>
      <c r="H69" s="54">
        <v>0</v>
      </c>
      <c r="I69" s="54"/>
      <c r="J69" s="54"/>
      <c r="K69" s="55">
        <f t="shared" si="31"/>
        <v>0</v>
      </c>
      <c r="L69" s="54"/>
      <c r="M69" s="56"/>
      <c r="N69" s="57">
        <f t="shared" si="32"/>
        <v>0</v>
      </c>
      <c r="O69" s="57">
        <f t="shared" si="33"/>
        <v>0</v>
      </c>
      <c r="P69" s="57">
        <f t="shared" si="34"/>
        <v>0</v>
      </c>
      <c r="Q69" s="57">
        <f t="shared" si="35"/>
        <v>0</v>
      </c>
      <c r="R69" s="57">
        <f t="shared" si="36"/>
        <v>0</v>
      </c>
      <c r="S69" s="57">
        <f t="shared" si="37"/>
        <v>0</v>
      </c>
      <c r="T69" s="56"/>
      <c r="U69" s="58"/>
      <c r="V69" s="58"/>
      <c r="W69" s="58"/>
      <c r="X69" s="58"/>
      <c r="Y69" s="59"/>
      <c r="Z69" s="58"/>
    </row>
    <row r="70" spans="1:26" s="39" customFormat="1" ht="14.25" customHeight="1" x14ac:dyDescent="0.2">
      <c r="A70" s="30"/>
      <c r="B70" s="8" t="s">
        <v>129</v>
      </c>
      <c r="C70" s="8"/>
      <c r="D70" s="8"/>
      <c r="E70" s="8"/>
      <c r="F70" s="53"/>
      <c r="G70" s="54">
        <v>0</v>
      </c>
      <c r="H70" s="54">
        <v>0</v>
      </c>
      <c r="I70" s="54"/>
      <c r="J70" s="54"/>
      <c r="K70" s="55">
        <f t="shared" si="31"/>
        <v>0</v>
      </c>
      <c r="L70" s="54"/>
      <c r="M70" s="56"/>
      <c r="N70" s="57">
        <f t="shared" si="32"/>
        <v>0</v>
      </c>
      <c r="O70" s="57">
        <f t="shared" si="33"/>
        <v>0</v>
      </c>
      <c r="P70" s="57">
        <f t="shared" si="34"/>
        <v>0</v>
      </c>
      <c r="Q70" s="57">
        <f t="shared" si="35"/>
        <v>0</v>
      </c>
      <c r="R70" s="57">
        <f t="shared" si="36"/>
        <v>0</v>
      </c>
      <c r="S70" s="57">
        <f t="shared" si="37"/>
        <v>0</v>
      </c>
      <c r="T70" s="56"/>
      <c r="U70" s="58"/>
      <c r="V70" s="58"/>
      <c r="W70" s="58"/>
      <c r="X70" s="58"/>
      <c r="Y70" s="59"/>
      <c r="Z70" s="58"/>
    </row>
    <row r="71" spans="1:26" s="39" customFormat="1" ht="14.25" customHeight="1" x14ac:dyDescent="0.2">
      <c r="A71" s="30"/>
      <c r="B71" s="8" t="s">
        <v>130</v>
      </c>
      <c r="C71" s="8"/>
      <c r="D71" s="8"/>
      <c r="E71" s="8"/>
      <c r="F71" s="53"/>
      <c r="G71" s="54">
        <v>0</v>
      </c>
      <c r="H71" s="54">
        <v>0</v>
      </c>
      <c r="I71" s="54"/>
      <c r="J71" s="54"/>
      <c r="K71" s="55">
        <f t="shared" si="31"/>
        <v>0</v>
      </c>
      <c r="L71" s="54"/>
      <c r="M71" s="56"/>
      <c r="N71" s="57">
        <f t="shared" si="32"/>
        <v>0</v>
      </c>
      <c r="O71" s="57">
        <f t="shared" si="33"/>
        <v>0</v>
      </c>
      <c r="P71" s="57">
        <f t="shared" si="34"/>
        <v>0</v>
      </c>
      <c r="Q71" s="57">
        <f t="shared" si="35"/>
        <v>0</v>
      </c>
      <c r="R71" s="57">
        <f t="shared" si="36"/>
        <v>0</v>
      </c>
      <c r="S71" s="57">
        <f t="shared" si="37"/>
        <v>0</v>
      </c>
      <c r="T71" s="56"/>
      <c r="U71" s="58"/>
      <c r="V71" s="58"/>
      <c r="W71" s="58"/>
      <c r="X71" s="58"/>
      <c r="Y71" s="59"/>
      <c r="Z71" s="58"/>
    </row>
    <row r="72" spans="1:26" s="39" customFormat="1" ht="14.25" customHeight="1" x14ac:dyDescent="0.2">
      <c r="A72" s="30"/>
      <c r="B72" s="8" t="s">
        <v>131</v>
      </c>
      <c r="C72" s="8"/>
      <c r="D72" s="8"/>
      <c r="E72" s="8"/>
      <c r="F72" s="53"/>
      <c r="G72" s="54">
        <v>4</v>
      </c>
      <c r="H72" s="54">
        <v>5</v>
      </c>
      <c r="I72" s="54">
        <f>ROUND(H72*1.04,2)</f>
        <v>5.2</v>
      </c>
      <c r="J72" s="54">
        <f>ROUND(I72*1.04,2)</f>
        <v>5.41</v>
      </c>
      <c r="K72" s="55">
        <f t="shared" si="31"/>
        <v>19.61</v>
      </c>
      <c r="L72" s="54">
        <f>ROUND(K72*1.15,2)</f>
        <v>22.55</v>
      </c>
      <c r="M72" s="56"/>
      <c r="N72" s="57">
        <f t="shared" si="32"/>
        <v>5.0632911392405063E-2</v>
      </c>
      <c r="O72" s="57">
        <f t="shared" si="33"/>
        <v>5.6818181818181816E-2</v>
      </c>
      <c r="P72" s="57">
        <f t="shared" si="34"/>
        <v>5.6818181818181816E-2</v>
      </c>
      <c r="Q72" s="57">
        <f t="shared" si="35"/>
        <v>5.6833701019014603E-2</v>
      </c>
      <c r="R72" s="57">
        <f t="shared" si="36"/>
        <v>5.544089791071781E-2</v>
      </c>
      <c r="S72" s="57">
        <f t="shared" si="37"/>
        <v>5.5436733289082288E-2</v>
      </c>
      <c r="T72" s="56"/>
      <c r="U72" s="58"/>
      <c r="V72" s="58"/>
      <c r="W72" s="58"/>
      <c r="X72" s="58"/>
      <c r="Y72" s="59"/>
      <c r="Z72" s="58"/>
    </row>
    <row r="73" spans="1:26" s="39" customFormat="1" ht="14.25" customHeight="1" x14ac:dyDescent="0.2">
      <c r="A73" s="30"/>
      <c r="B73" s="8" t="s">
        <v>132</v>
      </c>
      <c r="C73" s="8"/>
      <c r="D73" s="8"/>
      <c r="E73" s="8"/>
      <c r="F73" s="53"/>
      <c r="G73" s="54">
        <v>0</v>
      </c>
      <c r="H73" s="54">
        <v>0</v>
      </c>
      <c r="I73" s="54"/>
      <c r="J73" s="54"/>
      <c r="K73" s="55">
        <f t="shared" si="31"/>
        <v>0</v>
      </c>
      <c r="L73" s="54"/>
      <c r="M73" s="56"/>
      <c r="N73" s="57">
        <f t="shared" si="32"/>
        <v>0</v>
      </c>
      <c r="O73" s="57">
        <f t="shared" si="33"/>
        <v>0</v>
      </c>
      <c r="P73" s="57">
        <f t="shared" si="34"/>
        <v>0</v>
      </c>
      <c r="Q73" s="57">
        <f t="shared" si="35"/>
        <v>0</v>
      </c>
      <c r="R73" s="57">
        <f t="shared" si="36"/>
        <v>0</v>
      </c>
      <c r="S73" s="57">
        <f t="shared" si="37"/>
        <v>0</v>
      </c>
      <c r="T73" s="56"/>
      <c r="U73" s="58"/>
      <c r="V73" s="58"/>
      <c r="W73" s="58"/>
      <c r="X73" s="58"/>
      <c r="Y73" s="59"/>
      <c r="Z73" s="58"/>
    </row>
    <row r="74" spans="1:26" s="39" customFormat="1" ht="14.25" customHeight="1" x14ac:dyDescent="0.2">
      <c r="A74" s="30"/>
      <c r="B74" s="8" t="s">
        <v>133</v>
      </c>
      <c r="C74" s="8"/>
      <c r="D74" s="8"/>
      <c r="E74" s="8"/>
      <c r="F74" s="53"/>
      <c r="G74" s="54">
        <v>0</v>
      </c>
      <c r="H74" s="54">
        <v>0</v>
      </c>
      <c r="I74" s="54"/>
      <c r="J74" s="54"/>
      <c r="K74" s="55">
        <f t="shared" si="31"/>
        <v>0</v>
      </c>
      <c r="L74" s="54"/>
      <c r="M74" s="56"/>
      <c r="N74" s="57">
        <f t="shared" si="32"/>
        <v>0</v>
      </c>
      <c r="O74" s="57">
        <f t="shared" si="33"/>
        <v>0</v>
      </c>
      <c r="P74" s="57">
        <f t="shared" si="34"/>
        <v>0</v>
      </c>
      <c r="Q74" s="57">
        <f t="shared" si="35"/>
        <v>0</v>
      </c>
      <c r="R74" s="57">
        <f t="shared" si="36"/>
        <v>0</v>
      </c>
      <c r="S74" s="57">
        <f t="shared" si="37"/>
        <v>0</v>
      </c>
      <c r="T74" s="56"/>
      <c r="U74" s="58"/>
      <c r="V74" s="58"/>
      <c r="W74" s="58"/>
      <c r="X74" s="58"/>
      <c r="Y74" s="59"/>
      <c r="Z74" s="58"/>
    </row>
    <row r="75" spans="1:26" s="39" customFormat="1" ht="14.25" customHeight="1" x14ac:dyDescent="0.2">
      <c r="A75" s="30"/>
      <c r="B75" s="8" t="s">
        <v>134</v>
      </c>
      <c r="C75" s="8"/>
      <c r="D75" s="8"/>
      <c r="E75" s="8"/>
      <c r="F75" s="53"/>
      <c r="G75" s="54">
        <v>0</v>
      </c>
      <c r="H75" s="54">
        <v>0</v>
      </c>
      <c r="I75" s="54"/>
      <c r="J75" s="54"/>
      <c r="K75" s="55">
        <f t="shared" si="31"/>
        <v>0</v>
      </c>
      <c r="L75" s="54"/>
      <c r="M75" s="56"/>
      <c r="N75" s="57">
        <f t="shared" si="32"/>
        <v>0</v>
      </c>
      <c r="O75" s="57">
        <f t="shared" si="33"/>
        <v>0</v>
      </c>
      <c r="P75" s="57">
        <f t="shared" si="34"/>
        <v>0</v>
      </c>
      <c r="Q75" s="57">
        <f t="shared" si="35"/>
        <v>0</v>
      </c>
      <c r="R75" s="57">
        <f t="shared" si="36"/>
        <v>0</v>
      </c>
      <c r="S75" s="57">
        <f t="shared" si="37"/>
        <v>0</v>
      </c>
      <c r="T75" s="56"/>
      <c r="U75" s="58"/>
      <c r="V75" s="58"/>
      <c r="W75" s="58"/>
      <c r="X75" s="58"/>
      <c r="Y75" s="59"/>
      <c r="Z75" s="58"/>
    </row>
    <row r="76" spans="1:26" s="39" customFormat="1" ht="14.25" customHeight="1" x14ac:dyDescent="0.2">
      <c r="A76" s="30"/>
      <c r="B76" s="8" t="s">
        <v>135</v>
      </c>
      <c r="C76" s="8"/>
      <c r="D76" s="8"/>
      <c r="E76" s="8"/>
      <c r="F76" s="53"/>
      <c r="G76" s="54">
        <v>0</v>
      </c>
      <c r="H76" s="54">
        <v>0</v>
      </c>
      <c r="I76" s="54"/>
      <c r="J76" s="54"/>
      <c r="K76" s="55">
        <f t="shared" si="31"/>
        <v>0</v>
      </c>
      <c r="L76" s="54"/>
      <c r="M76" s="56"/>
      <c r="N76" s="57">
        <f t="shared" si="32"/>
        <v>0</v>
      </c>
      <c r="O76" s="57">
        <f t="shared" si="33"/>
        <v>0</v>
      </c>
      <c r="P76" s="57">
        <f t="shared" si="34"/>
        <v>0</v>
      </c>
      <c r="Q76" s="57">
        <f t="shared" si="35"/>
        <v>0</v>
      </c>
      <c r="R76" s="57">
        <f t="shared" si="36"/>
        <v>0</v>
      </c>
      <c r="S76" s="57">
        <f t="shared" si="37"/>
        <v>0</v>
      </c>
      <c r="T76" s="56"/>
      <c r="U76" s="58"/>
      <c r="V76" s="58"/>
      <c r="W76" s="58"/>
      <c r="X76" s="58"/>
      <c r="Y76" s="59"/>
      <c r="Z76" s="58"/>
    </row>
    <row r="77" spans="1:26" s="39" customFormat="1" ht="14.25" customHeight="1" x14ac:dyDescent="0.2">
      <c r="A77" s="30"/>
      <c r="B77" s="8" t="s">
        <v>136</v>
      </c>
      <c r="C77" s="8"/>
      <c r="D77" s="8"/>
      <c r="E77" s="8"/>
      <c r="F77" s="53"/>
      <c r="G77" s="54">
        <v>0</v>
      </c>
      <c r="H77" s="54">
        <v>0</v>
      </c>
      <c r="I77" s="54"/>
      <c r="J77" s="54"/>
      <c r="K77" s="55">
        <f t="shared" si="31"/>
        <v>0</v>
      </c>
      <c r="L77" s="54"/>
      <c r="M77" s="56"/>
      <c r="N77" s="57">
        <f t="shared" si="32"/>
        <v>0</v>
      </c>
      <c r="O77" s="57">
        <f t="shared" si="33"/>
        <v>0</v>
      </c>
      <c r="P77" s="57">
        <f t="shared" si="34"/>
        <v>0</v>
      </c>
      <c r="Q77" s="57">
        <f t="shared" si="35"/>
        <v>0</v>
      </c>
      <c r="R77" s="57">
        <f t="shared" si="36"/>
        <v>0</v>
      </c>
      <c r="S77" s="57">
        <f t="shared" si="37"/>
        <v>0</v>
      </c>
      <c r="T77" s="56"/>
      <c r="U77" s="58"/>
      <c r="V77" s="58"/>
      <c r="W77" s="58"/>
      <c r="X77" s="58"/>
      <c r="Y77" s="59"/>
      <c r="Z77" s="58"/>
    </row>
    <row r="78" spans="1:26" s="39" customFormat="1" ht="14.25" customHeight="1" x14ac:dyDescent="0.2">
      <c r="A78" s="30"/>
      <c r="B78" s="4" t="s">
        <v>108</v>
      </c>
      <c r="C78" s="4"/>
      <c r="D78" s="3"/>
      <c r="E78" s="3"/>
      <c r="F78" s="53"/>
      <c r="G78" s="54">
        <v>0</v>
      </c>
      <c r="H78" s="54">
        <v>0</v>
      </c>
      <c r="I78" s="54"/>
      <c r="J78" s="54"/>
      <c r="K78" s="55">
        <f t="shared" si="31"/>
        <v>0</v>
      </c>
      <c r="L78" s="54"/>
      <c r="M78" s="56"/>
      <c r="N78" s="57">
        <f t="shared" si="32"/>
        <v>0</v>
      </c>
      <c r="O78" s="57">
        <f t="shared" si="33"/>
        <v>0</v>
      </c>
      <c r="P78" s="57">
        <f t="shared" si="34"/>
        <v>0</v>
      </c>
      <c r="Q78" s="57">
        <f t="shared" si="35"/>
        <v>0</v>
      </c>
      <c r="R78" s="57">
        <f t="shared" si="36"/>
        <v>0</v>
      </c>
      <c r="S78" s="57">
        <f t="shared" si="37"/>
        <v>0</v>
      </c>
      <c r="T78" s="56"/>
      <c r="U78" s="58"/>
      <c r="V78" s="58"/>
      <c r="W78" s="58"/>
      <c r="X78" s="58"/>
      <c r="Y78" s="59"/>
      <c r="Z78" s="58"/>
    </row>
    <row r="79" spans="1:26" s="39" customFormat="1" ht="14.25" customHeight="1" x14ac:dyDescent="0.2">
      <c r="A79" s="30"/>
      <c r="B79" s="7" t="s">
        <v>137</v>
      </c>
      <c r="C79" s="7"/>
      <c r="D79" s="7"/>
      <c r="E79" s="7"/>
      <c r="F79" s="61"/>
      <c r="G79" s="62">
        <f t="shared" ref="G79:L79" si="38">SUM(G59:G78)</f>
        <v>79</v>
      </c>
      <c r="H79" s="62">
        <f t="shared" si="38"/>
        <v>88</v>
      </c>
      <c r="I79" s="62">
        <f t="shared" si="38"/>
        <v>91.52000000000001</v>
      </c>
      <c r="J79" s="62">
        <f t="shared" si="38"/>
        <v>95.19</v>
      </c>
      <c r="K79" s="62">
        <f t="shared" si="38"/>
        <v>353.71000000000004</v>
      </c>
      <c r="L79" s="62">
        <f t="shared" si="38"/>
        <v>406.77</v>
      </c>
      <c r="M79" s="31"/>
      <c r="N79" s="51">
        <f t="shared" ref="N79:S79" si="39">SUM(N59:N78)</f>
        <v>1</v>
      </c>
      <c r="O79" s="51">
        <f t="shared" si="39"/>
        <v>0.99999999999999978</v>
      </c>
      <c r="P79" s="51">
        <f t="shared" si="39"/>
        <v>0.99999999999999978</v>
      </c>
      <c r="Q79" s="51">
        <f t="shared" si="39"/>
        <v>1</v>
      </c>
      <c r="R79" s="51">
        <f t="shared" si="39"/>
        <v>1</v>
      </c>
      <c r="S79" s="51">
        <f t="shared" si="39"/>
        <v>1</v>
      </c>
      <c r="T79" s="31"/>
      <c r="U79" s="63"/>
      <c r="V79" s="63"/>
      <c r="W79" s="63"/>
      <c r="X79" s="63"/>
      <c r="Y79" s="63"/>
      <c r="Z79" s="63"/>
    </row>
    <row r="80" spans="1:26" s="39" customFormat="1" ht="14.25" customHeight="1" x14ac:dyDescent="0.2">
      <c r="A80" s="30"/>
      <c r="B80" s="6" t="s">
        <v>138</v>
      </c>
      <c r="C80" s="6"/>
      <c r="D80" s="6"/>
      <c r="E80" s="6"/>
      <c r="F80" s="34"/>
      <c r="G80" s="35" t="s">
        <v>77</v>
      </c>
      <c r="H80" s="35" t="s">
        <v>77</v>
      </c>
      <c r="I80" s="35" t="s">
        <v>77</v>
      </c>
      <c r="J80" s="35" t="s">
        <v>77</v>
      </c>
      <c r="K80" s="35" t="s">
        <v>77</v>
      </c>
      <c r="L80" s="35" t="s">
        <v>78</v>
      </c>
      <c r="M80" s="64"/>
      <c r="N80" s="35" t="s">
        <v>77</v>
      </c>
      <c r="O80" s="35" t="s">
        <v>77</v>
      </c>
      <c r="P80" s="35" t="s">
        <v>77</v>
      </c>
      <c r="Q80" s="35" t="s">
        <v>77</v>
      </c>
      <c r="R80" s="35" t="s">
        <v>77</v>
      </c>
      <c r="S80" s="35" t="s">
        <v>78</v>
      </c>
      <c r="T80" s="31"/>
      <c r="U80" s="35" t="s">
        <v>77</v>
      </c>
      <c r="V80" s="35" t="s">
        <v>77</v>
      </c>
      <c r="W80" s="35" t="s">
        <v>77</v>
      </c>
      <c r="X80" s="35" t="s">
        <v>77</v>
      </c>
      <c r="Y80" s="35" t="s">
        <v>77</v>
      </c>
      <c r="Z80" s="35" t="s">
        <v>78</v>
      </c>
    </row>
    <row r="81" spans="1:27" s="39" customFormat="1" ht="14.25" customHeight="1" x14ac:dyDescent="0.2">
      <c r="A81" s="30"/>
      <c r="B81" s="5" t="s">
        <v>87</v>
      </c>
      <c r="C81" s="5"/>
      <c r="D81" s="5"/>
      <c r="E81" s="5"/>
      <c r="F81" s="36" t="s">
        <v>93</v>
      </c>
      <c r="G81" s="37" t="s">
        <v>80</v>
      </c>
      <c r="H81" s="37" t="s">
        <v>81</v>
      </c>
      <c r="I81" s="37" t="s">
        <v>82</v>
      </c>
      <c r="J81" s="37" t="s">
        <v>83</v>
      </c>
      <c r="K81" s="37">
        <v>2025</v>
      </c>
      <c r="L81" s="37">
        <v>2026</v>
      </c>
      <c r="M81" s="31"/>
      <c r="N81" s="37" t="s">
        <v>80</v>
      </c>
      <c r="O81" s="37" t="s">
        <v>81</v>
      </c>
      <c r="P81" s="37" t="s">
        <v>82</v>
      </c>
      <c r="Q81" s="37" t="s">
        <v>83</v>
      </c>
      <c r="R81" s="37">
        <v>2025</v>
      </c>
      <c r="S81" s="37">
        <v>2026</v>
      </c>
      <c r="T81" s="31"/>
      <c r="U81" s="37" t="s">
        <v>80</v>
      </c>
      <c r="V81" s="37" t="s">
        <v>81</v>
      </c>
      <c r="W81" s="37" t="s">
        <v>82</v>
      </c>
      <c r="X81" s="37" t="s">
        <v>83</v>
      </c>
      <c r="Y81" s="37">
        <v>2025</v>
      </c>
      <c r="Z81" s="37">
        <v>2026</v>
      </c>
    </row>
    <row r="82" spans="1:27" s="39" customFormat="1" ht="14.25" customHeight="1" x14ac:dyDescent="0.2">
      <c r="A82" s="30"/>
      <c r="B82" s="8" t="s">
        <v>139</v>
      </c>
      <c r="C82" s="8"/>
      <c r="D82" s="8"/>
      <c r="E82" s="8"/>
      <c r="F82" s="53"/>
      <c r="G82" s="54">
        <v>0.6</v>
      </c>
      <c r="H82" s="54">
        <v>0.6</v>
      </c>
      <c r="I82" s="54">
        <f t="shared" ref="I82:J84" si="40">ROUND(H82*1.04,2)</f>
        <v>0.62</v>
      </c>
      <c r="J82" s="54">
        <f t="shared" si="40"/>
        <v>0.64</v>
      </c>
      <c r="K82" s="55">
        <f t="shared" ref="K82:K91" si="41">SUM(G82:J82)</f>
        <v>2.46</v>
      </c>
      <c r="L82" s="54">
        <f>ROUND(K82*1.15,2)</f>
        <v>2.83</v>
      </c>
      <c r="M82" s="56"/>
      <c r="N82" s="57">
        <f t="shared" ref="N82:N91" si="42">IFERROR(G82/G$92,"")</f>
        <v>9.0909090909090912E-2</v>
      </c>
      <c r="O82" s="57">
        <f t="shared" ref="O82:O91" si="43">IFERROR(H82/H$92,"")</f>
        <v>8.4507042253521111E-2</v>
      </c>
      <c r="P82" s="57">
        <f t="shared" ref="P82:P91" si="44">IFERROR(I82/I$92,"")</f>
        <v>8.4010840108401083E-2</v>
      </c>
      <c r="Q82" s="57">
        <f t="shared" ref="Q82:Q91" si="45">IFERROR(J82/J$92,"")</f>
        <v>8.3550913838120106E-2</v>
      </c>
      <c r="R82" s="57">
        <f t="shared" ref="R82:R91" si="46">IFERROR(K82/K$92,"")</f>
        <v>8.5594989561586621E-2</v>
      </c>
      <c r="S82" s="57">
        <f t="shared" ref="S82:S91" si="47">IFERROR(L82/L$92,"")</f>
        <v>8.5627836611195163E-2</v>
      </c>
      <c r="T82" s="56"/>
      <c r="U82" s="58"/>
      <c r="V82" s="58"/>
      <c r="W82" s="58"/>
      <c r="X82" s="58"/>
      <c r="Y82" s="59"/>
      <c r="Z82" s="58"/>
    </row>
    <row r="83" spans="1:27" s="39" customFormat="1" ht="14.25" customHeight="1" x14ac:dyDescent="0.2">
      <c r="A83" s="30"/>
      <c r="B83" s="8" t="s">
        <v>140</v>
      </c>
      <c r="C83" s="8"/>
      <c r="D83" s="8"/>
      <c r="E83" s="8"/>
      <c r="F83" s="53"/>
      <c r="G83" s="54">
        <v>2.5</v>
      </c>
      <c r="H83" s="54">
        <v>2.7</v>
      </c>
      <c r="I83" s="54">
        <f t="shared" si="40"/>
        <v>2.81</v>
      </c>
      <c r="J83" s="54">
        <f t="shared" si="40"/>
        <v>2.92</v>
      </c>
      <c r="K83" s="55">
        <f t="shared" si="41"/>
        <v>10.93</v>
      </c>
      <c r="L83" s="54">
        <f>ROUND(K83*1.15,2)</f>
        <v>12.57</v>
      </c>
      <c r="M83" s="56"/>
      <c r="N83" s="57">
        <f t="shared" si="42"/>
        <v>0.37878787878787878</v>
      </c>
      <c r="O83" s="57">
        <f t="shared" si="43"/>
        <v>0.38028169014084506</v>
      </c>
      <c r="P83" s="57">
        <f t="shared" si="44"/>
        <v>0.3807588075880759</v>
      </c>
      <c r="Q83" s="57">
        <f t="shared" si="45"/>
        <v>0.38120104438642294</v>
      </c>
      <c r="R83" s="57">
        <f t="shared" si="46"/>
        <v>0.38030619345859423</v>
      </c>
      <c r="S83" s="57">
        <f t="shared" si="47"/>
        <v>0.38033282904689869</v>
      </c>
      <c r="T83" s="56"/>
      <c r="U83" s="58"/>
      <c r="V83" s="58"/>
      <c r="W83" s="58"/>
      <c r="X83" s="58"/>
      <c r="Y83" s="59"/>
      <c r="Z83" s="58"/>
    </row>
    <row r="84" spans="1:27" s="39" customFormat="1" ht="14.25" customHeight="1" x14ac:dyDescent="0.2">
      <c r="A84" s="30"/>
      <c r="B84" s="8" t="s">
        <v>141</v>
      </c>
      <c r="C84" s="8"/>
      <c r="D84" s="8"/>
      <c r="E84" s="8"/>
      <c r="F84" s="53"/>
      <c r="G84" s="54">
        <v>1.7</v>
      </c>
      <c r="H84" s="54">
        <v>1.8</v>
      </c>
      <c r="I84" s="54">
        <f t="shared" si="40"/>
        <v>1.87</v>
      </c>
      <c r="J84" s="54">
        <f t="shared" si="40"/>
        <v>1.94</v>
      </c>
      <c r="K84" s="55">
        <f t="shared" si="41"/>
        <v>7.3100000000000005</v>
      </c>
      <c r="L84" s="54">
        <f>ROUND(K84*1.15,2)</f>
        <v>8.41</v>
      </c>
      <c r="M84" s="56"/>
      <c r="N84" s="57">
        <f t="shared" si="42"/>
        <v>0.25757575757575757</v>
      </c>
      <c r="O84" s="57">
        <f t="shared" si="43"/>
        <v>0.25352112676056338</v>
      </c>
      <c r="P84" s="57">
        <f t="shared" si="44"/>
        <v>0.25338753387533874</v>
      </c>
      <c r="Q84" s="57">
        <f t="shared" si="45"/>
        <v>0.25326370757180156</v>
      </c>
      <c r="R84" s="57">
        <f t="shared" si="46"/>
        <v>0.25434933890048711</v>
      </c>
      <c r="S84" s="57">
        <f t="shared" si="47"/>
        <v>0.25446293494704997</v>
      </c>
      <c r="T84" s="56"/>
      <c r="U84" s="58"/>
      <c r="V84" s="58"/>
      <c r="W84" s="58"/>
      <c r="X84" s="58"/>
      <c r="Y84" s="59"/>
      <c r="Z84" s="58"/>
    </row>
    <row r="85" spans="1:27" s="39" customFormat="1" ht="14.25" customHeight="1" x14ac:dyDescent="0.2">
      <c r="A85" s="30"/>
      <c r="B85" s="8" t="s">
        <v>142</v>
      </c>
      <c r="C85" s="8"/>
      <c r="D85" s="8"/>
      <c r="E85" s="8"/>
      <c r="F85" s="53"/>
      <c r="G85" s="54">
        <v>0</v>
      </c>
      <c r="H85" s="54">
        <v>0</v>
      </c>
      <c r="I85" s="54"/>
      <c r="J85" s="54"/>
      <c r="K85" s="55">
        <f t="shared" si="41"/>
        <v>0</v>
      </c>
      <c r="L85" s="54"/>
      <c r="M85" s="56"/>
      <c r="N85" s="57">
        <f t="shared" si="42"/>
        <v>0</v>
      </c>
      <c r="O85" s="57">
        <f t="shared" si="43"/>
        <v>0</v>
      </c>
      <c r="P85" s="57">
        <f t="shared" si="44"/>
        <v>0</v>
      </c>
      <c r="Q85" s="57">
        <f t="shared" si="45"/>
        <v>0</v>
      </c>
      <c r="R85" s="57">
        <f t="shared" si="46"/>
        <v>0</v>
      </c>
      <c r="S85" s="57">
        <f t="shared" si="47"/>
        <v>0</v>
      </c>
      <c r="T85" s="56"/>
      <c r="U85" s="58"/>
      <c r="V85" s="58"/>
      <c r="W85" s="58"/>
      <c r="X85" s="58"/>
      <c r="Y85" s="59"/>
      <c r="Z85" s="58"/>
    </row>
    <row r="86" spans="1:27" s="39" customFormat="1" ht="14.25" customHeight="1" x14ac:dyDescent="0.2">
      <c r="A86" s="30"/>
      <c r="B86" s="8" t="s">
        <v>143</v>
      </c>
      <c r="C86" s="8"/>
      <c r="D86" s="8"/>
      <c r="E86" s="8"/>
      <c r="F86" s="53"/>
      <c r="G86" s="54">
        <v>0</v>
      </c>
      <c r="H86" s="54">
        <v>0</v>
      </c>
      <c r="I86" s="54"/>
      <c r="J86" s="54"/>
      <c r="K86" s="55">
        <f t="shared" si="41"/>
        <v>0</v>
      </c>
      <c r="L86" s="54"/>
      <c r="M86" s="56"/>
      <c r="N86" s="57">
        <f t="shared" si="42"/>
        <v>0</v>
      </c>
      <c r="O86" s="57">
        <f t="shared" si="43"/>
        <v>0</v>
      </c>
      <c r="P86" s="57">
        <f t="shared" si="44"/>
        <v>0</v>
      </c>
      <c r="Q86" s="57">
        <f t="shared" si="45"/>
        <v>0</v>
      </c>
      <c r="R86" s="57">
        <f t="shared" si="46"/>
        <v>0</v>
      </c>
      <c r="S86" s="57">
        <f t="shared" si="47"/>
        <v>0</v>
      </c>
      <c r="T86" s="56"/>
      <c r="U86" s="58"/>
      <c r="V86" s="58"/>
      <c r="W86" s="58"/>
      <c r="X86" s="58"/>
      <c r="Y86" s="59"/>
      <c r="Z86" s="58"/>
    </row>
    <row r="87" spans="1:27" s="39" customFormat="1" ht="14.25" customHeight="1" x14ac:dyDescent="0.2">
      <c r="A87" s="30"/>
      <c r="B87" s="8" t="s">
        <v>141</v>
      </c>
      <c r="C87" s="8"/>
      <c r="D87" s="8"/>
      <c r="E87" s="8"/>
      <c r="F87" s="53"/>
      <c r="G87" s="54">
        <v>1.5</v>
      </c>
      <c r="H87" s="54">
        <v>1.7</v>
      </c>
      <c r="I87" s="54">
        <f>ROUND(H87*1.04,2)</f>
        <v>1.77</v>
      </c>
      <c r="J87" s="54">
        <f>ROUND(I87*1.04,2)</f>
        <v>1.84</v>
      </c>
      <c r="K87" s="55">
        <f t="shared" si="41"/>
        <v>6.8100000000000005</v>
      </c>
      <c r="L87" s="54">
        <f>ROUND(K87*1.15,2)</f>
        <v>7.83</v>
      </c>
      <c r="M87" s="56"/>
      <c r="N87" s="57">
        <f t="shared" si="42"/>
        <v>0.22727272727272729</v>
      </c>
      <c r="O87" s="57">
        <f t="shared" si="43"/>
        <v>0.23943661971830985</v>
      </c>
      <c r="P87" s="57">
        <f t="shared" si="44"/>
        <v>0.23983739837398374</v>
      </c>
      <c r="Q87" s="57">
        <f t="shared" si="45"/>
        <v>0.24020887728459531</v>
      </c>
      <c r="R87" s="57">
        <f t="shared" si="46"/>
        <v>0.23695198329853859</v>
      </c>
      <c r="S87" s="57">
        <f t="shared" si="47"/>
        <v>0.23691376701966718</v>
      </c>
      <c r="T87" s="56"/>
      <c r="U87" s="58"/>
      <c r="V87" s="58"/>
      <c r="W87" s="58"/>
      <c r="X87" s="58"/>
      <c r="Y87" s="59"/>
      <c r="Z87" s="58"/>
    </row>
    <row r="88" spans="1:27" s="39" customFormat="1" ht="14.25" customHeight="1" x14ac:dyDescent="0.2">
      <c r="A88" s="30"/>
      <c r="B88" s="8" t="s">
        <v>144</v>
      </c>
      <c r="C88" s="8"/>
      <c r="D88" s="8"/>
      <c r="E88" s="8"/>
      <c r="F88" s="53"/>
      <c r="G88" s="54">
        <v>0.3</v>
      </c>
      <c r="H88" s="54">
        <v>0.3</v>
      </c>
      <c r="I88" s="54">
        <f>ROUND(H88*1.04,2)</f>
        <v>0.31</v>
      </c>
      <c r="J88" s="54">
        <f>ROUND(I88*1.04,2)</f>
        <v>0.32</v>
      </c>
      <c r="K88" s="55">
        <f t="shared" si="41"/>
        <v>1.23</v>
      </c>
      <c r="L88" s="54">
        <f>ROUND(K88*1.15,2)</f>
        <v>1.41</v>
      </c>
      <c r="M88" s="56"/>
      <c r="N88" s="57">
        <f t="shared" si="42"/>
        <v>4.5454545454545456E-2</v>
      </c>
      <c r="O88" s="57">
        <f t="shared" si="43"/>
        <v>4.2253521126760556E-2</v>
      </c>
      <c r="P88" s="57">
        <f t="shared" si="44"/>
        <v>4.2005420054200542E-2</v>
      </c>
      <c r="Q88" s="57">
        <f t="shared" si="45"/>
        <v>4.1775456919060053E-2</v>
      </c>
      <c r="R88" s="57">
        <f t="shared" si="46"/>
        <v>4.279749478079331E-2</v>
      </c>
      <c r="S88" s="57">
        <f t="shared" si="47"/>
        <v>4.2662632375189108E-2</v>
      </c>
      <c r="T88" s="56"/>
      <c r="U88" s="58"/>
      <c r="V88" s="58"/>
      <c r="W88" s="58"/>
      <c r="X88" s="58"/>
      <c r="Y88" s="59"/>
      <c r="Z88" s="58"/>
    </row>
    <row r="89" spans="1:27" s="39" customFormat="1" ht="14.25" customHeight="1" x14ac:dyDescent="0.2">
      <c r="A89" s="30"/>
      <c r="B89" s="45" t="s">
        <v>145</v>
      </c>
      <c r="C89" s="46"/>
      <c r="D89" s="46"/>
      <c r="E89" s="47"/>
      <c r="F89" s="53"/>
      <c r="G89" s="54">
        <v>0</v>
      </c>
      <c r="H89" s="54">
        <v>0</v>
      </c>
      <c r="I89" s="54"/>
      <c r="J89" s="54"/>
      <c r="K89" s="55">
        <f t="shared" si="41"/>
        <v>0</v>
      </c>
      <c r="L89" s="54"/>
      <c r="M89" s="56"/>
      <c r="N89" s="57">
        <f t="shared" si="42"/>
        <v>0</v>
      </c>
      <c r="O89" s="57">
        <f t="shared" si="43"/>
        <v>0</v>
      </c>
      <c r="P89" s="57">
        <f t="shared" si="44"/>
        <v>0</v>
      </c>
      <c r="Q89" s="57">
        <f t="shared" si="45"/>
        <v>0</v>
      </c>
      <c r="R89" s="57">
        <f t="shared" si="46"/>
        <v>0</v>
      </c>
      <c r="S89" s="57">
        <f t="shared" si="47"/>
        <v>0</v>
      </c>
      <c r="T89" s="56"/>
      <c r="U89" s="58"/>
      <c r="V89" s="58"/>
      <c r="W89" s="58"/>
      <c r="X89" s="58"/>
      <c r="Y89" s="59"/>
      <c r="Z89" s="58"/>
    </row>
    <row r="90" spans="1:27" s="39" customFormat="1" ht="14.25" customHeight="1" x14ac:dyDescent="0.2">
      <c r="A90" s="30"/>
      <c r="B90" s="8" t="s">
        <v>146</v>
      </c>
      <c r="C90" s="8"/>
      <c r="D90" s="8"/>
      <c r="E90" s="8"/>
      <c r="F90" s="53"/>
      <c r="G90" s="54">
        <v>0</v>
      </c>
      <c r="H90" s="54">
        <v>0</v>
      </c>
      <c r="I90" s="54"/>
      <c r="J90" s="54"/>
      <c r="K90" s="55">
        <f t="shared" si="41"/>
        <v>0</v>
      </c>
      <c r="L90" s="54"/>
      <c r="M90" s="56"/>
      <c r="N90" s="57">
        <f t="shared" si="42"/>
        <v>0</v>
      </c>
      <c r="O90" s="57">
        <f t="shared" si="43"/>
        <v>0</v>
      </c>
      <c r="P90" s="57">
        <f t="shared" si="44"/>
        <v>0</v>
      </c>
      <c r="Q90" s="57">
        <f t="shared" si="45"/>
        <v>0</v>
      </c>
      <c r="R90" s="57">
        <f t="shared" si="46"/>
        <v>0</v>
      </c>
      <c r="S90" s="57">
        <f t="shared" si="47"/>
        <v>0</v>
      </c>
      <c r="T90" s="56"/>
      <c r="U90" s="58"/>
      <c r="V90" s="58"/>
      <c r="W90" s="58"/>
      <c r="X90" s="58"/>
      <c r="Y90" s="59"/>
      <c r="Z90" s="58"/>
    </row>
    <row r="91" spans="1:27" s="39" customFormat="1" ht="14.25" customHeight="1" x14ac:dyDescent="0.2">
      <c r="A91" s="30"/>
      <c r="B91" s="8" t="s">
        <v>108</v>
      </c>
      <c r="C91" s="8"/>
      <c r="D91" s="3"/>
      <c r="E91" s="3"/>
      <c r="F91" s="65"/>
      <c r="G91" s="54">
        <v>0</v>
      </c>
      <c r="H91" s="54">
        <v>0</v>
      </c>
      <c r="I91" s="54"/>
      <c r="J91" s="54"/>
      <c r="K91" s="55">
        <f t="shared" si="41"/>
        <v>0</v>
      </c>
      <c r="L91" s="54"/>
      <c r="M91" s="56"/>
      <c r="N91" s="57">
        <f t="shared" si="42"/>
        <v>0</v>
      </c>
      <c r="O91" s="57">
        <f t="shared" si="43"/>
        <v>0</v>
      </c>
      <c r="P91" s="57">
        <f t="shared" si="44"/>
        <v>0</v>
      </c>
      <c r="Q91" s="57">
        <f t="shared" si="45"/>
        <v>0</v>
      </c>
      <c r="R91" s="57">
        <f t="shared" si="46"/>
        <v>0</v>
      </c>
      <c r="S91" s="57">
        <f t="shared" si="47"/>
        <v>0</v>
      </c>
      <c r="T91" s="56"/>
      <c r="U91" s="58"/>
      <c r="V91" s="58"/>
      <c r="W91" s="58"/>
      <c r="X91" s="58"/>
      <c r="Y91" s="59"/>
      <c r="Z91" s="58"/>
    </row>
    <row r="92" spans="1:27" s="39" customFormat="1" ht="14.25" customHeight="1" x14ac:dyDescent="0.2">
      <c r="A92" s="30"/>
      <c r="B92" s="7" t="s">
        <v>147</v>
      </c>
      <c r="C92" s="7"/>
      <c r="D92" s="7"/>
      <c r="E92" s="7"/>
      <c r="F92" s="61"/>
      <c r="G92" s="62">
        <f t="shared" ref="G92:L92" si="48">SUM(G82:G91)</f>
        <v>6.6</v>
      </c>
      <c r="H92" s="62">
        <f t="shared" si="48"/>
        <v>7.1000000000000005</v>
      </c>
      <c r="I92" s="62">
        <f t="shared" si="48"/>
        <v>7.38</v>
      </c>
      <c r="J92" s="62">
        <f t="shared" si="48"/>
        <v>7.66</v>
      </c>
      <c r="K92" s="62">
        <f t="shared" si="48"/>
        <v>28.740000000000006</v>
      </c>
      <c r="L92" s="62">
        <f t="shared" si="48"/>
        <v>33.049999999999997</v>
      </c>
      <c r="M92" s="31"/>
      <c r="N92" s="51">
        <f t="shared" ref="N92:S92" si="49">SUM(N82:N91)</f>
        <v>1</v>
      </c>
      <c r="O92" s="51">
        <f t="shared" si="49"/>
        <v>0.99999999999999989</v>
      </c>
      <c r="P92" s="51">
        <f t="shared" si="49"/>
        <v>1</v>
      </c>
      <c r="Q92" s="51">
        <f t="shared" si="49"/>
        <v>0.99999999999999989</v>
      </c>
      <c r="R92" s="51">
        <f t="shared" si="49"/>
        <v>0.99999999999999989</v>
      </c>
      <c r="S92" s="51">
        <f t="shared" si="49"/>
        <v>1.0000000000000002</v>
      </c>
      <c r="T92" s="31"/>
      <c r="U92" s="63"/>
      <c r="V92" s="63"/>
      <c r="W92" s="63"/>
      <c r="X92" s="63"/>
      <c r="Y92" s="63"/>
      <c r="Z92" s="63"/>
    </row>
    <row r="93" spans="1:27" s="39" customFormat="1" ht="14.25" customHeight="1" x14ac:dyDescent="0.2">
      <c r="A93" s="30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31"/>
      <c r="T93" s="68"/>
      <c r="U93" s="68"/>
      <c r="V93" s="68"/>
      <c r="W93" s="68"/>
      <c r="X93" s="68"/>
      <c r="Y93" s="68"/>
      <c r="Z93" s="31"/>
      <c r="AA93" s="68"/>
    </row>
    <row r="94" spans="1:27" s="39" customFormat="1" ht="14.25" customHeight="1" x14ac:dyDescent="0.2">
      <c r="A94" s="30"/>
      <c r="B94" s="6" t="s">
        <v>148</v>
      </c>
      <c r="C94" s="6"/>
      <c r="D94" s="6"/>
      <c r="E94" s="6"/>
      <c r="F94" s="34"/>
      <c r="G94" s="35" t="s">
        <v>77</v>
      </c>
      <c r="H94" s="35" t="s">
        <v>77</v>
      </c>
      <c r="I94" s="35" t="s">
        <v>77</v>
      </c>
      <c r="J94" s="35" t="s">
        <v>77</v>
      </c>
      <c r="K94" s="35" t="s">
        <v>77</v>
      </c>
      <c r="L94" s="35" t="s">
        <v>78</v>
      </c>
      <c r="M94" s="64"/>
      <c r="N94" s="35" t="s">
        <v>77</v>
      </c>
      <c r="O94" s="35" t="s">
        <v>77</v>
      </c>
      <c r="P94" s="35" t="s">
        <v>77</v>
      </c>
      <c r="Q94" s="35" t="s">
        <v>77</v>
      </c>
      <c r="R94" s="35" t="s">
        <v>77</v>
      </c>
      <c r="S94" s="35" t="s">
        <v>78</v>
      </c>
      <c r="T94" s="31"/>
      <c r="U94" s="35" t="s">
        <v>77</v>
      </c>
      <c r="V94" s="35" t="s">
        <v>77</v>
      </c>
      <c r="W94" s="35" t="s">
        <v>77</v>
      </c>
      <c r="X94" s="35" t="s">
        <v>77</v>
      </c>
      <c r="Y94" s="35" t="s">
        <v>77</v>
      </c>
      <c r="Z94" s="35" t="s">
        <v>78</v>
      </c>
      <c r="AA94" s="68"/>
    </row>
    <row r="95" spans="1:27" s="39" customFormat="1" ht="14.25" customHeight="1" x14ac:dyDescent="0.2">
      <c r="A95" s="30"/>
      <c r="B95" s="5" t="s">
        <v>149</v>
      </c>
      <c r="C95" s="5"/>
      <c r="D95" s="5"/>
      <c r="E95" s="5"/>
      <c r="F95" s="36" t="s">
        <v>93</v>
      </c>
      <c r="G95" s="37" t="s">
        <v>80</v>
      </c>
      <c r="H95" s="37" t="s">
        <v>81</v>
      </c>
      <c r="I95" s="37" t="s">
        <v>82</v>
      </c>
      <c r="J95" s="37" t="s">
        <v>83</v>
      </c>
      <c r="K95" s="37">
        <v>2025</v>
      </c>
      <c r="L95" s="37">
        <v>2026</v>
      </c>
      <c r="M95" s="31"/>
      <c r="N95" s="37" t="s">
        <v>80</v>
      </c>
      <c r="O95" s="37" t="s">
        <v>81</v>
      </c>
      <c r="P95" s="37" t="s">
        <v>82</v>
      </c>
      <c r="Q95" s="37" t="s">
        <v>83</v>
      </c>
      <c r="R95" s="37">
        <v>2025</v>
      </c>
      <c r="S95" s="37">
        <v>2026</v>
      </c>
      <c r="T95" s="31"/>
      <c r="U95" s="37" t="s">
        <v>80</v>
      </c>
      <c r="V95" s="37" t="s">
        <v>81</v>
      </c>
      <c r="W95" s="37" t="s">
        <v>82</v>
      </c>
      <c r="X95" s="37" t="s">
        <v>83</v>
      </c>
      <c r="Y95" s="37">
        <v>2025</v>
      </c>
      <c r="Z95" s="37">
        <v>2026</v>
      </c>
      <c r="AA95" s="68"/>
    </row>
    <row r="96" spans="1:27" s="39" customFormat="1" ht="14.25" customHeight="1" x14ac:dyDescent="0.2">
      <c r="A96" s="30"/>
      <c r="B96" s="8" t="s">
        <v>150</v>
      </c>
      <c r="C96" s="8"/>
      <c r="D96" s="8"/>
      <c r="E96" s="8"/>
      <c r="F96" s="53"/>
      <c r="G96" s="54">
        <v>0.5</v>
      </c>
      <c r="H96" s="54">
        <v>0.7</v>
      </c>
      <c r="I96" s="54">
        <f t="shared" ref="I96:J101" si="50">ROUND(H96*1.04,2)</f>
        <v>0.73</v>
      </c>
      <c r="J96" s="54">
        <f t="shared" si="50"/>
        <v>0.76</v>
      </c>
      <c r="K96" s="55">
        <f t="shared" ref="K96:K102" si="51">SUM(G96:J96)</f>
        <v>2.69</v>
      </c>
      <c r="L96" s="54">
        <f t="shared" ref="L96:L101" si="52">ROUND(K96*1.15,2)</f>
        <v>3.09</v>
      </c>
      <c r="M96" s="56"/>
      <c r="N96" s="57">
        <f t="shared" ref="N96:S102" si="53">IFERROR(G96/G$103,"")</f>
        <v>0.10638297872340427</v>
      </c>
      <c r="O96" s="57">
        <f t="shared" si="53"/>
        <v>0.12962962962962962</v>
      </c>
      <c r="P96" s="57">
        <f t="shared" si="53"/>
        <v>0.13012477718360071</v>
      </c>
      <c r="Q96" s="57">
        <f t="shared" si="53"/>
        <v>0.13036020583190394</v>
      </c>
      <c r="R96" s="57">
        <f t="shared" si="53"/>
        <v>0.12488393686165274</v>
      </c>
      <c r="S96" s="57">
        <f t="shared" si="53"/>
        <v>0.12479806138933765</v>
      </c>
      <c r="T96" s="56"/>
      <c r="U96" s="58"/>
      <c r="V96" s="58"/>
      <c r="W96" s="58"/>
      <c r="X96" s="58"/>
      <c r="Y96" s="59"/>
      <c r="Z96" s="58"/>
      <c r="AA96" s="68"/>
    </row>
    <row r="97" spans="1:27" s="39" customFormat="1" ht="14.25" customHeight="1" x14ac:dyDescent="0.2">
      <c r="A97" s="30"/>
      <c r="B97" s="8" t="s">
        <v>151</v>
      </c>
      <c r="C97" s="8"/>
      <c r="D97" s="8"/>
      <c r="E97" s="8"/>
      <c r="F97" s="53"/>
      <c r="G97" s="54">
        <v>0.5</v>
      </c>
      <c r="H97" s="54">
        <v>0.7</v>
      </c>
      <c r="I97" s="54">
        <f t="shared" si="50"/>
        <v>0.73</v>
      </c>
      <c r="J97" s="54">
        <f t="shared" si="50"/>
        <v>0.76</v>
      </c>
      <c r="K97" s="55">
        <f t="shared" si="51"/>
        <v>2.69</v>
      </c>
      <c r="L97" s="54">
        <f t="shared" si="52"/>
        <v>3.09</v>
      </c>
      <c r="M97" s="56"/>
      <c r="N97" s="57">
        <f t="shared" si="53"/>
        <v>0.10638297872340427</v>
      </c>
      <c r="O97" s="57">
        <f t="shared" si="53"/>
        <v>0.12962962962962962</v>
      </c>
      <c r="P97" s="57">
        <f t="shared" si="53"/>
        <v>0.13012477718360071</v>
      </c>
      <c r="Q97" s="57">
        <f t="shared" si="53"/>
        <v>0.13036020583190394</v>
      </c>
      <c r="R97" s="57">
        <f t="shared" si="53"/>
        <v>0.12488393686165274</v>
      </c>
      <c r="S97" s="57">
        <f t="shared" si="53"/>
        <v>0.12479806138933765</v>
      </c>
      <c r="T97" s="56"/>
      <c r="U97" s="58"/>
      <c r="V97" s="58"/>
      <c r="W97" s="58"/>
      <c r="X97" s="58"/>
      <c r="Y97" s="59"/>
      <c r="Z97" s="58"/>
      <c r="AA97" s="68"/>
    </row>
    <row r="98" spans="1:27" s="39" customFormat="1" ht="14.25" customHeight="1" x14ac:dyDescent="0.2">
      <c r="A98" s="30"/>
      <c r="B98" s="8" t="s">
        <v>152</v>
      </c>
      <c r="C98" s="8"/>
      <c r="D98" s="8"/>
      <c r="E98" s="8"/>
      <c r="F98" s="53"/>
      <c r="G98" s="54">
        <v>1.4</v>
      </c>
      <c r="H98" s="54">
        <v>1.6</v>
      </c>
      <c r="I98" s="54">
        <f t="shared" si="50"/>
        <v>1.66</v>
      </c>
      <c r="J98" s="54">
        <f t="shared" si="50"/>
        <v>1.73</v>
      </c>
      <c r="K98" s="55">
        <f t="shared" si="51"/>
        <v>6.3900000000000006</v>
      </c>
      <c r="L98" s="54">
        <f t="shared" si="52"/>
        <v>7.35</v>
      </c>
      <c r="M98" s="56"/>
      <c r="N98" s="57">
        <f t="shared" si="53"/>
        <v>0.29787234042553196</v>
      </c>
      <c r="O98" s="57">
        <f t="shared" si="53"/>
        <v>0.29629629629629634</v>
      </c>
      <c r="P98" s="57">
        <f t="shared" si="53"/>
        <v>0.29590017825311943</v>
      </c>
      <c r="Q98" s="57">
        <f t="shared" si="53"/>
        <v>0.29674099485420241</v>
      </c>
      <c r="R98" s="57">
        <f t="shared" si="53"/>
        <v>0.2966573816155989</v>
      </c>
      <c r="S98" s="57">
        <f t="shared" si="53"/>
        <v>0.29684975767366722</v>
      </c>
      <c r="T98" s="56"/>
      <c r="U98" s="58"/>
      <c r="V98" s="58"/>
      <c r="W98" s="58"/>
      <c r="X98" s="58"/>
      <c r="Y98" s="59"/>
      <c r="Z98" s="58"/>
      <c r="AA98" s="68"/>
    </row>
    <row r="99" spans="1:27" s="39" customFormat="1" ht="14.25" customHeight="1" x14ac:dyDescent="0.2">
      <c r="A99" s="30"/>
      <c r="B99" s="8" t="s">
        <v>153</v>
      </c>
      <c r="C99" s="8"/>
      <c r="D99" s="8"/>
      <c r="E99" s="8"/>
      <c r="F99" s="53"/>
      <c r="G99" s="54">
        <v>1.7</v>
      </c>
      <c r="H99" s="54">
        <v>1.8</v>
      </c>
      <c r="I99" s="54">
        <f t="shared" si="50"/>
        <v>1.87</v>
      </c>
      <c r="J99" s="54">
        <f t="shared" si="50"/>
        <v>1.94</v>
      </c>
      <c r="K99" s="55">
        <f t="shared" si="51"/>
        <v>7.3100000000000005</v>
      </c>
      <c r="L99" s="54">
        <f t="shared" si="52"/>
        <v>8.41</v>
      </c>
      <c r="M99" s="56"/>
      <c r="N99" s="57">
        <f t="shared" si="53"/>
        <v>0.36170212765957449</v>
      </c>
      <c r="O99" s="57">
        <f t="shared" si="53"/>
        <v>0.33333333333333337</v>
      </c>
      <c r="P99" s="57">
        <f t="shared" si="53"/>
        <v>0.33333333333333337</v>
      </c>
      <c r="Q99" s="57">
        <f t="shared" si="53"/>
        <v>0.33276157804459688</v>
      </c>
      <c r="R99" s="57">
        <f t="shared" si="53"/>
        <v>0.33936861652739092</v>
      </c>
      <c r="S99" s="57">
        <f t="shared" si="53"/>
        <v>0.33966074313408728</v>
      </c>
      <c r="T99" s="56"/>
      <c r="U99" s="58"/>
      <c r="V99" s="58"/>
      <c r="W99" s="58"/>
      <c r="X99" s="58"/>
      <c r="Y99" s="59"/>
      <c r="Z99" s="58"/>
      <c r="AA99" s="68"/>
    </row>
    <row r="100" spans="1:27" s="39" customFormat="1" ht="14.25" customHeight="1" x14ac:dyDescent="0.2">
      <c r="A100" s="30"/>
      <c r="B100" s="8" t="s">
        <v>154</v>
      </c>
      <c r="C100" s="8"/>
      <c r="D100" s="8"/>
      <c r="E100" s="8"/>
      <c r="F100" s="53"/>
      <c r="G100" s="54">
        <v>0.3</v>
      </c>
      <c r="H100" s="54">
        <v>0.3</v>
      </c>
      <c r="I100" s="54">
        <f t="shared" si="50"/>
        <v>0.31</v>
      </c>
      <c r="J100" s="54">
        <f t="shared" si="50"/>
        <v>0.32</v>
      </c>
      <c r="K100" s="55">
        <f t="shared" si="51"/>
        <v>1.23</v>
      </c>
      <c r="L100" s="54">
        <f t="shared" si="52"/>
        <v>1.41</v>
      </c>
      <c r="M100" s="56"/>
      <c r="N100" s="57">
        <f t="shared" si="53"/>
        <v>6.3829787234042562E-2</v>
      </c>
      <c r="O100" s="57">
        <f t="shared" si="53"/>
        <v>5.5555555555555559E-2</v>
      </c>
      <c r="P100" s="57">
        <f t="shared" si="53"/>
        <v>5.5258467023172914E-2</v>
      </c>
      <c r="Q100" s="57">
        <f t="shared" si="53"/>
        <v>5.4888507718696397E-2</v>
      </c>
      <c r="R100" s="57">
        <f t="shared" si="53"/>
        <v>5.7103064066852366E-2</v>
      </c>
      <c r="S100" s="57">
        <f t="shared" si="53"/>
        <v>5.694668820678514E-2</v>
      </c>
      <c r="T100" s="56"/>
      <c r="U100" s="58"/>
      <c r="V100" s="58"/>
      <c r="W100" s="58"/>
      <c r="X100" s="58"/>
      <c r="Y100" s="59"/>
      <c r="Z100" s="58"/>
      <c r="AA100" s="68"/>
    </row>
    <row r="101" spans="1:27" s="39" customFormat="1" ht="14.25" customHeight="1" x14ac:dyDescent="0.2">
      <c r="A101" s="30"/>
      <c r="B101" s="8" t="s">
        <v>155</v>
      </c>
      <c r="C101" s="8"/>
      <c r="D101" s="8"/>
      <c r="E101" s="8"/>
      <c r="F101" s="53"/>
      <c r="G101" s="54">
        <v>0.3</v>
      </c>
      <c r="H101" s="54">
        <v>0.3</v>
      </c>
      <c r="I101" s="54">
        <f t="shared" si="50"/>
        <v>0.31</v>
      </c>
      <c r="J101" s="54">
        <f t="shared" si="50"/>
        <v>0.32</v>
      </c>
      <c r="K101" s="55">
        <f t="shared" si="51"/>
        <v>1.23</v>
      </c>
      <c r="L101" s="54">
        <f t="shared" si="52"/>
        <v>1.41</v>
      </c>
      <c r="M101" s="56"/>
      <c r="N101" s="57">
        <f t="shared" si="53"/>
        <v>6.3829787234042562E-2</v>
      </c>
      <c r="O101" s="57">
        <f t="shared" si="53"/>
        <v>5.5555555555555559E-2</v>
      </c>
      <c r="P101" s="57">
        <f t="shared" si="53"/>
        <v>5.5258467023172914E-2</v>
      </c>
      <c r="Q101" s="57">
        <f t="shared" si="53"/>
        <v>5.4888507718696397E-2</v>
      </c>
      <c r="R101" s="57">
        <f t="shared" si="53"/>
        <v>5.7103064066852366E-2</v>
      </c>
      <c r="S101" s="57">
        <f t="shared" si="53"/>
        <v>5.694668820678514E-2</v>
      </c>
      <c r="T101" s="56"/>
      <c r="U101" s="58"/>
      <c r="V101" s="58"/>
      <c r="W101" s="58"/>
      <c r="X101" s="58"/>
      <c r="Y101" s="59"/>
      <c r="Z101" s="58"/>
      <c r="AA101" s="68"/>
    </row>
    <row r="102" spans="1:27" s="39" customFormat="1" ht="14.25" customHeight="1" x14ac:dyDescent="0.2">
      <c r="A102" s="30"/>
      <c r="B102" s="8" t="s">
        <v>108</v>
      </c>
      <c r="C102" s="8"/>
      <c r="D102" s="3"/>
      <c r="E102" s="3"/>
      <c r="F102" s="65"/>
      <c r="G102" s="54">
        <v>0</v>
      </c>
      <c r="H102" s="54">
        <v>0</v>
      </c>
      <c r="I102" s="54"/>
      <c r="J102" s="54"/>
      <c r="K102" s="55">
        <f t="shared" si="51"/>
        <v>0</v>
      </c>
      <c r="L102" s="54"/>
      <c r="M102" s="56"/>
      <c r="N102" s="57">
        <f t="shared" si="53"/>
        <v>0</v>
      </c>
      <c r="O102" s="57">
        <f t="shared" si="53"/>
        <v>0</v>
      </c>
      <c r="P102" s="57">
        <f t="shared" si="53"/>
        <v>0</v>
      </c>
      <c r="Q102" s="57">
        <f t="shared" si="53"/>
        <v>0</v>
      </c>
      <c r="R102" s="57">
        <f t="shared" si="53"/>
        <v>0</v>
      </c>
      <c r="S102" s="57">
        <f t="shared" si="53"/>
        <v>0</v>
      </c>
      <c r="T102" s="56"/>
      <c r="U102" s="58"/>
      <c r="V102" s="58"/>
      <c r="W102" s="58"/>
      <c r="X102" s="58"/>
      <c r="Y102" s="59"/>
      <c r="Z102" s="58"/>
      <c r="AA102" s="68"/>
    </row>
    <row r="103" spans="1:27" s="39" customFormat="1" ht="14.25" customHeight="1" x14ac:dyDescent="0.2">
      <c r="A103" s="30"/>
      <c r="B103" s="7" t="s">
        <v>156</v>
      </c>
      <c r="C103" s="7"/>
      <c r="D103" s="7"/>
      <c r="E103" s="7"/>
      <c r="F103" s="61"/>
      <c r="G103" s="62">
        <f t="shared" ref="G103:L103" si="54">SUM(G96:G102)</f>
        <v>4.6999999999999993</v>
      </c>
      <c r="H103" s="62">
        <f t="shared" si="54"/>
        <v>5.3999999999999995</v>
      </c>
      <c r="I103" s="62">
        <f t="shared" si="54"/>
        <v>5.6099999999999994</v>
      </c>
      <c r="J103" s="62">
        <f t="shared" si="54"/>
        <v>5.83</v>
      </c>
      <c r="K103" s="62">
        <f t="shared" si="54"/>
        <v>21.54</v>
      </c>
      <c r="L103" s="62">
        <f t="shared" si="54"/>
        <v>24.759999999999998</v>
      </c>
      <c r="M103" s="31"/>
      <c r="N103" s="51">
        <f t="shared" ref="N103:S103" si="55">SUM(N96:N102)</f>
        <v>1</v>
      </c>
      <c r="O103" s="51">
        <f t="shared" si="55"/>
        <v>1</v>
      </c>
      <c r="P103" s="51">
        <f t="shared" si="55"/>
        <v>1</v>
      </c>
      <c r="Q103" s="51">
        <f t="shared" si="55"/>
        <v>1</v>
      </c>
      <c r="R103" s="51">
        <f t="shared" si="55"/>
        <v>1</v>
      </c>
      <c r="S103" s="51">
        <f t="shared" si="55"/>
        <v>1.0000000000000002</v>
      </c>
      <c r="T103" s="31"/>
      <c r="U103" s="63"/>
      <c r="V103" s="63"/>
      <c r="W103" s="63"/>
      <c r="X103" s="63"/>
      <c r="Y103" s="63"/>
      <c r="Z103" s="63"/>
      <c r="AA103" s="68"/>
    </row>
    <row r="104" spans="1:27" s="39" customFormat="1" ht="14.25" customHeight="1" x14ac:dyDescent="0.2">
      <c r="A104" s="30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31"/>
      <c r="T104" s="68"/>
      <c r="U104" s="68"/>
      <c r="V104" s="68"/>
      <c r="W104" s="68"/>
      <c r="X104" s="68"/>
      <c r="Y104" s="68"/>
      <c r="Z104" s="31"/>
      <c r="AA104" s="68"/>
    </row>
    <row r="105" spans="1:27" s="39" customFormat="1" ht="14.25" customHeight="1" x14ac:dyDescent="0.2">
      <c r="A105" s="30"/>
      <c r="B105" s="6" t="s">
        <v>157</v>
      </c>
      <c r="C105" s="6"/>
      <c r="D105" s="6"/>
      <c r="E105" s="6"/>
      <c r="F105" s="34"/>
      <c r="G105" s="35" t="s">
        <v>77</v>
      </c>
      <c r="H105" s="35" t="s">
        <v>77</v>
      </c>
      <c r="I105" s="35" t="s">
        <v>77</v>
      </c>
      <c r="J105" s="35" t="s">
        <v>77</v>
      </c>
      <c r="K105" s="35" t="s">
        <v>77</v>
      </c>
      <c r="L105" s="35" t="s">
        <v>78</v>
      </c>
      <c r="M105" s="64"/>
      <c r="N105" s="35" t="s">
        <v>77</v>
      </c>
      <c r="O105" s="35" t="s">
        <v>77</v>
      </c>
      <c r="P105" s="35" t="s">
        <v>77</v>
      </c>
      <c r="Q105" s="35" t="s">
        <v>77</v>
      </c>
      <c r="R105" s="35" t="s">
        <v>77</v>
      </c>
      <c r="S105" s="35" t="s">
        <v>78</v>
      </c>
      <c r="T105" s="31"/>
      <c r="U105" s="35" t="s">
        <v>77</v>
      </c>
      <c r="V105" s="35" t="s">
        <v>77</v>
      </c>
      <c r="W105" s="35" t="s">
        <v>77</v>
      </c>
      <c r="X105" s="35" t="s">
        <v>77</v>
      </c>
      <c r="Y105" s="35" t="s">
        <v>77</v>
      </c>
      <c r="Z105" s="35" t="s">
        <v>78</v>
      </c>
    </row>
    <row r="106" spans="1:27" s="39" customFormat="1" ht="14.25" customHeight="1" x14ac:dyDescent="0.2">
      <c r="A106" s="30"/>
      <c r="B106" s="5" t="s">
        <v>89</v>
      </c>
      <c r="C106" s="5"/>
      <c r="D106" s="5"/>
      <c r="E106" s="5"/>
      <c r="F106" s="36" t="s">
        <v>93</v>
      </c>
      <c r="G106" s="37" t="s">
        <v>80</v>
      </c>
      <c r="H106" s="37" t="s">
        <v>81</v>
      </c>
      <c r="I106" s="37" t="s">
        <v>82</v>
      </c>
      <c r="J106" s="37" t="s">
        <v>83</v>
      </c>
      <c r="K106" s="37">
        <v>2025</v>
      </c>
      <c r="L106" s="37">
        <v>2026</v>
      </c>
      <c r="M106" s="31"/>
      <c r="N106" s="37" t="s">
        <v>80</v>
      </c>
      <c r="O106" s="37" t="s">
        <v>81</v>
      </c>
      <c r="P106" s="37" t="s">
        <v>82</v>
      </c>
      <c r="Q106" s="37" t="s">
        <v>83</v>
      </c>
      <c r="R106" s="37">
        <v>2025</v>
      </c>
      <c r="S106" s="37">
        <v>2026</v>
      </c>
      <c r="T106" s="31"/>
      <c r="U106" s="37" t="s">
        <v>80</v>
      </c>
      <c r="V106" s="37" t="s">
        <v>81</v>
      </c>
      <c r="W106" s="37" t="s">
        <v>82</v>
      </c>
      <c r="X106" s="37" t="s">
        <v>83</v>
      </c>
      <c r="Y106" s="37">
        <v>2025</v>
      </c>
      <c r="Z106" s="37">
        <v>2026</v>
      </c>
    </row>
    <row r="107" spans="1:27" s="39" customFormat="1" ht="14.25" customHeight="1" x14ac:dyDescent="0.2">
      <c r="A107" s="30"/>
      <c r="B107" s="8" t="s">
        <v>158</v>
      </c>
      <c r="C107" s="8"/>
      <c r="D107" s="8"/>
      <c r="E107" s="8"/>
      <c r="F107" s="53"/>
      <c r="G107" s="54">
        <v>0.3</v>
      </c>
      <c r="H107" s="54">
        <v>0.3</v>
      </c>
      <c r="I107" s="54">
        <f>ROUND(H107*1.04,2)</f>
        <v>0.31</v>
      </c>
      <c r="J107" s="54">
        <f>ROUND(I107*1.04,2)</f>
        <v>0.32</v>
      </c>
      <c r="K107" s="55">
        <f t="shared" ref="K107:K113" si="56">SUM(G107:J107)</f>
        <v>1.23</v>
      </c>
      <c r="L107" s="54">
        <f>ROUND(K107*1.15,2)</f>
        <v>1.41</v>
      </c>
      <c r="M107" s="56"/>
      <c r="N107" s="57">
        <f t="shared" ref="N107:S113" si="57">IFERROR(G107/G$114,"")</f>
        <v>0.35294117647058826</v>
      </c>
      <c r="O107" s="57">
        <f t="shared" si="57"/>
        <v>0.31578947368421051</v>
      </c>
      <c r="P107" s="57">
        <f t="shared" si="57"/>
        <v>0.31313131313131309</v>
      </c>
      <c r="Q107" s="57">
        <f t="shared" si="57"/>
        <v>0.31067961165048541</v>
      </c>
      <c r="R107" s="57">
        <f t="shared" si="57"/>
        <v>0.32198952879581155</v>
      </c>
      <c r="S107" s="57">
        <f t="shared" si="57"/>
        <v>0.32191780821917809</v>
      </c>
      <c r="T107" s="56"/>
      <c r="U107" s="58"/>
      <c r="V107" s="58"/>
      <c r="W107" s="58"/>
      <c r="X107" s="58"/>
      <c r="Y107" s="59"/>
      <c r="Z107" s="59"/>
    </row>
    <row r="108" spans="1:27" s="39" customFormat="1" ht="14.25" customHeight="1" x14ac:dyDescent="0.2">
      <c r="A108" s="30"/>
      <c r="B108" s="8" t="s">
        <v>159</v>
      </c>
      <c r="C108" s="8"/>
      <c r="D108" s="8"/>
      <c r="E108" s="8"/>
      <c r="F108" s="53"/>
      <c r="G108" s="54">
        <v>0</v>
      </c>
      <c r="H108" s="54">
        <v>0</v>
      </c>
      <c r="I108" s="54"/>
      <c r="J108" s="54"/>
      <c r="K108" s="55">
        <f t="shared" si="56"/>
        <v>0</v>
      </c>
      <c r="L108" s="54"/>
      <c r="M108" s="56"/>
      <c r="N108" s="57">
        <f t="shared" si="57"/>
        <v>0</v>
      </c>
      <c r="O108" s="57">
        <f t="shared" si="57"/>
        <v>0</v>
      </c>
      <c r="P108" s="57">
        <f t="shared" si="57"/>
        <v>0</v>
      </c>
      <c r="Q108" s="57">
        <f t="shared" si="57"/>
        <v>0</v>
      </c>
      <c r="R108" s="57">
        <f t="shared" si="57"/>
        <v>0</v>
      </c>
      <c r="S108" s="57">
        <f t="shared" si="57"/>
        <v>0</v>
      </c>
      <c r="T108" s="56"/>
      <c r="U108" s="58"/>
      <c r="V108" s="58"/>
      <c r="W108" s="58"/>
      <c r="X108" s="58"/>
      <c r="Y108" s="59"/>
      <c r="Z108" s="59"/>
    </row>
    <row r="109" spans="1:27" s="39" customFormat="1" ht="14.25" customHeight="1" x14ac:dyDescent="0.2">
      <c r="A109" s="30"/>
      <c r="B109" s="8" t="s">
        <v>160</v>
      </c>
      <c r="C109" s="8"/>
      <c r="D109" s="8"/>
      <c r="E109" s="8"/>
      <c r="F109" s="53"/>
      <c r="G109" s="54">
        <v>0.4</v>
      </c>
      <c r="H109" s="54">
        <v>0.5</v>
      </c>
      <c r="I109" s="54">
        <f>ROUND(H109*1.04,2)</f>
        <v>0.52</v>
      </c>
      <c r="J109" s="54">
        <f>ROUND(I109*1.04,2)</f>
        <v>0.54</v>
      </c>
      <c r="K109" s="55">
        <f t="shared" si="56"/>
        <v>1.96</v>
      </c>
      <c r="L109" s="54">
        <f>ROUND(K109*1.15,2)</f>
        <v>2.25</v>
      </c>
      <c r="M109" s="56"/>
      <c r="N109" s="57">
        <f t="shared" si="57"/>
        <v>0.4705882352941177</v>
      </c>
      <c r="O109" s="57">
        <f t="shared" si="57"/>
        <v>0.52631578947368418</v>
      </c>
      <c r="P109" s="57">
        <f t="shared" si="57"/>
        <v>0.52525252525252519</v>
      </c>
      <c r="Q109" s="57">
        <f t="shared" si="57"/>
        <v>0.52427184466019416</v>
      </c>
      <c r="R109" s="57">
        <f t="shared" si="57"/>
        <v>0.51308900523560208</v>
      </c>
      <c r="S109" s="57">
        <f t="shared" si="57"/>
        <v>0.51369863013698636</v>
      </c>
      <c r="T109" s="56"/>
      <c r="U109" s="58"/>
      <c r="V109" s="58"/>
      <c r="W109" s="58"/>
      <c r="X109" s="58"/>
      <c r="Y109" s="59"/>
      <c r="Z109" s="59"/>
    </row>
    <row r="110" spans="1:27" s="39" customFormat="1" ht="14.25" customHeight="1" x14ac:dyDescent="0.2">
      <c r="A110" s="30"/>
      <c r="B110" s="8" t="s">
        <v>161</v>
      </c>
      <c r="C110" s="8"/>
      <c r="D110" s="8"/>
      <c r="E110" s="8"/>
      <c r="F110" s="53"/>
      <c r="G110" s="54">
        <v>0</v>
      </c>
      <c r="H110" s="54">
        <v>0</v>
      </c>
      <c r="I110" s="54"/>
      <c r="J110" s="54"/>
      <c r="K110" s="55">
        <f t="shared" si="56"/>
        <v>0</v>
      </c>
      <c r="L110" s="54"/>
      <c r="M110" s="56"/>
      <c r="N110" s="57">
        <f t="shared" si="57"/>
        <v>0</v>
      </c>
      <c r="O110" s="57">
        <f t="shared" si="57"/>
        <v>0</v>
      </c>
      <c r="P110" s="57">
        <f t="shared" si="57"/>
        <v>0</v>
      </c>
      <c r="Q110" s="57">
        <f t="shared" si="57"/>
        <v>0</v>
      </c>
      <c r="R110" s="57">
        <f t="shared" si="57"/>
        <v>0</v>
      </c>
      <c r="S110" s="57">
        <f t="shared" si="57"/>
        <v>0</v>
      </c>
      <c r="T110" s="56"/>
      <c r="U110" s="58"/>
      <c r="V110" s="58"/>
      <c r="W110" s="58"/>
      <c r="X110" s="58"/>
      <c r="Y110" s="59"/>
      <c r="Z110" s="59"/>
    </row>
    <row r="111" spans="1:27" s="39" customFormat="1" ht="14.25" customHeight="1" x14ac:dyDescent="0.2">
      <c r="A111" s="30"/>
      <c r="B111" s="8" t="s">
        <v>162</v>
      </c>
      <c r="C111" s="8"/>
      <c r="D111" s="8"/>
      <c r="E111" s="8"/>
      <c r="F111" s="53"/>
      <c r="G111" s="54">
        <v>0</v>
      </c>
      <c r="H111" s="54">
        <v>0</v>
      </c>
      <c r="I111" s="54"/>
      <c r="J111" s="54"/>
      <c r="K111" s="55">
        <f t="shared" si="56"/>
        <v>0</v>
      </c>
      <c r="L111" s="54"/>
      <c r="M111" s="56"/>
      <c r="N111" s="57">
        <f t="shared" si="57"/>
        <v>0</v>
      </c>
      <c r="O111" s="57">
        <f t="shared" si="57"/>
        <v>0</v>
      </c>
      <c r="P111" s="57">
        <f t="shared" si="57"/>
        <v>0</v>
      </c>
      <c r="Q111" s="57">
        <f t="shared" si="57"/>
        <v>0</v>
      </c>
      <c r="R111" s="57">
        <f t="shared" si="57"/>
        <v>0</v>
      </c>
      <c r="S111" s="57">
        <f t="shared" si="57"/>
        <v>0</v>
      </c>
      <c r="T111" s="56"/>
      <c r="U111" s="58"/>
      <c r="V111" s="58"/>
      <c r="W111" s="58"/>
      <c r="X111" s="58"/>
      <c r="Y111" s="59"/>
      <c r="Z111" s="59"/>
    </row>
    <row r="112" spans="1:27" s="39" customFormat="1" ht="14.25" customHeight="1" x14ac:dyDescent="0.2">
      <c r="A112" s="30"/>
      <c r="B112" s="8" t="s">
        <v>163</v>
      </c>
      <c r="C112" s="8"/>
      <c r="D112" s="8"/>
      <c r="E112" s="8"/>
      <c r="F112" s="53"/>
      <c r="G112" s="54">
        <v>0.15</v>
      </c>
      <c r="H112" s="54">
        <v>0.15</v>
      </c>
      <c r="I112" s="54">
        <f>ROUND(H112*1.04,2)</f>
        <v>0.16</v>
      </c>
      <c r="J112" s="54">
        <f>ROUND(I112*1.04,2)</f>
        <v>0.17</v>
      </c>
      <c r="K112" s="55">
        <f t="shared" si="56"/>
        <v>0.63</v>
      </c>
      <c r="L112" s="54">
        <f>ROUND(K112*1.15,2)</f>
        <v>0.72</v>
      </c>
      <c r="M112" s="56"/>
      <c r="N112" s="57">
        <f t="shared" si="57"/>
        <v>0.17647058823529413</v>
      </c>
      <c r="O112" s="57">
        <f t="shared" si="57"/>
        <v>0.15789473684210525</v>
      </c>
      <c r="P112" s="57">
        <f t="shared" si="57"/>
        <v>0.1616161616161616</v>
      </c>
      <c r="Q112" s="57">
        <f t="shared" si="57"/>
        <v>0.1650485436893204</v>
      </c>
      <c r="R112" s="57">
        <f t="shared" si="57"/>
        <v>0.16492146596858639</v>
      </c>
      <c r="S112" s="57">
        <f t="shared" si="57"/>
        <v>0.16438356164383561</v>
      </c>
      <c r="T112" s="56"/>
      <c r="U112" s="58"/>
      <c r="V112" s="58"/>
      <c r="W112" s="58"/>
      <c r="X112" s="58"/>
      <c r="Y112" s="59"/>
      <c r="Z112" s="59"/>
    </row>
    <row r="113" spans="1:27" s="39" customFormat="1" ht="14.25" customHeight="1" x14ac:dyDescent="0.2">
      <c r="A113" s="30"/>
      <c r="B113" s="8" t="s">
        <v>108</v>
      </c>
      <c r="C113" s="8"/>
      <c r="D113" s="3"/>
      <c r="E113" s="3"/>
      <c r="F113" s="65"/>
      <c r="G113" s="54">
        <v>0</v>
      </c>
      <c r="H113" s="54">
        <v>0</v>
      </c>
      <c r="I113" s="54"/>
      <c r="J113" s="54"/>
      <c r="K113" s="55">
        <f t="shared" si="56"/>
        <v>0</v>
      </c>
      <c r="L113" s="54"/>
      <c r="M113" s="56"/>
      <c r="N113" s="57">
        <f t="shared" si="57"/>
        <v>0</v>
      </c>
      <c r="O113" s="57">
        <f t="shared" si="57"/>
        <v>0</v>
      </c>
      <c r="P113" s="57">
        <f t="shared" si="57"/>
        <v>0</v>
      </c>
      <c r="Q113" s="57">
        <f t="shared" si="57"/>
        <v>0</v>
      </c>
      <c r="R113" s="57">
        <f t="shared" si="57"/>
        <v>0</v>
      </c>
      <c r="S113" s="57">
        <f t="shared" si="57"/>
        <v>0</v>
      </c>
      <c r="T113" s="56"/>
      <c r="U113" s="58"/>
      <c r="V113" s="58"/>
      <c r="W113" s="58"/>
      <c r="X113" s="58"/>
      <c r="Y113" s="59"/>
      <c r="Z113" s="59"/>
    </row>
    <row r="114" spans="1:27" s="39" customFormat="1" ht="14.25" customHeight="1" x14ac:dyDescent="0.2">
      <c r="A114" s="30"/>
      <c r="B114" s="7" t="s">
        <v>164</v>
      </c>
      <c r="C114" s="7"/>
      <c r="D114" s="7"/>
      <c r="E114" s="7"/>
      <c r="F114" s="61"/>
      <c r="G114" s="62">
        <f t="shared" ref="G114:L114" si="58">SUM(G107:G113)</f>
        <v>0.85</v>
      </c>
      <c r="H114" s="62">
        <f t="shared" si="58"/>
        <v>0.95000000000000007</v>
      </c>
      <c r="I114" s="62">
        <f t="shared" si="58"/>
        <v>0.9900000000000001</v>
      </c>
      <c r="J114" s="62">
        <f t="shared" si="58"/>
        <v>1.03</v>
      </c>
      <c r="K114" s="62">
        <f t="shared" si="58"/>
        <v>3.82</v>
      </c>
      <c r="L114" s="62">
        <f t="shared" si="58"/>
        <v>4.38</v>
      </c>
      <c r="M114" s="31"/>
      <c r="N114" s="51">
        <f t="shared" ref="N114:S114" si="59">SUM(N107:N113)</f>
        <v>1</v>
      </c>
      <c r="O114" s="51">
        <f t="shared" si="59"/>
        <v>1</v>
      </c>
      <c r="P114" s="51">
        <f t="shared" si="59"/>
        <v>0.99999999999999978</v>
      </c>
      <c r="Q114" s="51">
        <f t="shared" si="59"/>
        <v>1</v>
      </c>
      <c r="R114" s="51">
        <f t="shared" si="59"/>
        <v>1</v>
      </c>
      <c r="S114" s="51">
        <f t="shared" si="59"/>
        <v>1</v>
      </c>
      <c r="T114" s="31"/>
      <c r="U114" s="63"/>
      <c r="V114" s="63"/>
      <c r="W114" s="63"/>
      <c r="X114" s="63"/>
      <c r="Y114" s="63"/>
      <c r="Z114" s="63"/>
    </row>
    <row r="115" spans="1:27" s="39" customFormat="1" ht="14.25" customHeight="1" x14ac:dyDescent="0.2">
      <c r="A115" s="30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spans="1:27" s="39" customFormat="1" ht="14.25" customHeight="1" x14ac:dyDescent="0.2">
      <c r="A116" s="30"/>
      <c r="B116" s="11" t="s">
        <v>165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31"/>
      <c r="N116" s="31"/>
      <c r="O116" s="31"/>
      <c r="P116" s="68"/>
      <c r="Q116" s="68"/>
      <c r="R116" s="68"/>
      <c r="S116" s="31"/>
      <c r="T116" s="68"/>
      <c r="U116" s="68"/>
      <c r="V116" s="68"/>
      <c r="W116" s="68"/>
      <c r="X116" s="68"/>
      <c r="Y116" s="68"/>
      <c r="Z116" s="31"/>
      <c r="AA116" s="68"/>
    </row>
    <row r="117" spans="1:27" s="39" customFormat="1" ht="14.25" customHeight="1" x14ac:dyDescent="0.2">
      <c r="A117" s="30"/>
      <c r="B117" s="66" t="s">
        <v>166</v>
      </c>
      <c r="C117" s="31"/>
      <c r="D117" s="31"/>
      <c r="E117" s="31"/>
      <c r="F117" s="31"/>
      <c r="G117" s="35" t="s">
        <v>77</v>
      </c>
      <c r="H117" s="35" t="s">
        <v>77</v>
      </c>
      <c r="I117" s="35" t="s">
        <v>77</v>
      </c>
      <c r="J117" s="35" t="s">
        <v>77</v>
      </c>
      <c r="K117" s="35" t="s">
        <v>77</v>
      </c>
      <c r="L117" s="35" t="s">
        <v>78</v>
      </c>
      <c r="M117" s="31"/>
      <c r="N117" s="31"/>
      <c r="O117" s="31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</row>
    <row r="118" spans="1:27" s="39" customFormat="1" ht="28.5" customHeight="1" x14ac:dyDescent="0.2">
      <c r="A118" s="30"/>
      <c r="B118" s="2" t="s">
        <v>167</v>
      </c>
      <c r="C118" s="2"/>
      <c r="D118" s="2"/>
      <c r="E118" s="2"/>
      <c r="F118" s="2"/>
      <c r="G118" s="37" t="s">
        <v>80</v>
      </c>
      <c r="H118" s="37" t="s">
        <v>81</v>
      </c>
      <c r="I118" s="37" t="s">
        <v>82</v>
      </c>
      <c r="J118" s="37" t="s">
        <v>83</v>
      </c>
      <c r="K118" s="37">
        <v>2025</v>
      </c>
      <c r="L118" s="37">
        <v>2026</v>
      </c>
      <c r="M118" s="31"/>
      <c r="N118" s="31"/>
      <c r="O118" s="31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</row>
    <row r="119" spans="1:27" s="39" customFormat="1" ht="14.25" customHeight="1" x14ac:dyDescent="0.2">
      <c r="A119" s="30"/>
      <c r="B119" s="4" t="s">
        <v>168</v>
      </c>
      <c r="C119" s="4"/>
      <c r="D119" s="4"/>
      <c r="E119" s="4"/>
      <c r="F119" s="4"/>
      <c r="G119" s="69">
        <v>0.4</v>
      </c>
      <c r="H119" s="69">
        <v>0.4</v>
      </c>
      <c r="I119" s="69">
        <v>0.4</v>
      </c>
      <c r="J119" s="69">
        <v>0.4</v>
      </c>
      <c r="K119" s="70">
        <v>0.4</v>
      </c>
      <c r="L119" s="69">
        <v>0.4</v>
      </c>
      <c r="M119" s="31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</row>
    <row r="120" spans="1:27" s="39" customFormat="1" ht="14.25" customHeight="1" x14ac:dyDescent="0.2">
      <c r="A120" s="30"/>
      <c r="B120" s="4" t="s">
        <v>169</v>
      </c>
      <c r="C120" s="4"/>
      <c r="D120" s="4"/>
      <c r="E120" s="4"/>
      <c r="F120" s="4"/>
      <c r="G120" s="69">
        <v>0.05</v>
      </c>
      <c r="H120" s="69">
        <v>0.05</v>
      </c>
      <c r="I120" s="69">
        <v>0.05</v>
      </c>
      <c r="J120" s="69">
        <v>0.05</v>
      </c>
      <c r="K120" s="70">
        <v>0.05</v>
      </c>
      <c r="L120" s="69">
        <v>0.05</v>
      </c>
      <c r="M120" s="31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</row>
    <row r="121" spans="1:27" s="39" customFormat="1" ht="14.25" customHeight="1" x14ac:dyDescent="0.2">
      <c r="A121" s="30"/>
      <c r="B121" s="4" t="s">
        <v>170</v>
      </c>
      <c r="C121" s="4"/>
      <c r="D121" s="4"/>
      <c r="E121" s="4"/>
      <c r="F121" s="4"/>
      <c r="G121" s="69">
        <v>0.25</v>
      </c>
      <c r="H121" s="69">
        <v>0.25</v>
      </c>
      <c r="I121" s="69">
        <v>0.24</v>
      </c>
      <c r="J121" s="69">
        <v>0.22</v>
      </c>
      <c r="K121" s="70">
        <v>0.22</v>
      </c>
      <c r="L121" s="69">
        <v>0.2</v>
      </c>
      <c r="M121" s="31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</row>
    <row r="122" spans="1:27" s="39" customFormat="1" ht="14.25" customHeight="1" x14ac:dyDescent="0.2">
      <c r="A122" s="30"/>
      <c r="B122" s="4" t="s">
        <v>171</v>
      </c>
      <c r="C122" s="4"/>
      <c r="D122" s="1"/>
      <c r="E122" s="1"/>
      <c r="F122" s="1"/>
      <c r="G122" s="69">
        <v>0.3</v>
      </c>
      <c r="H122" s="69">
        <v>0.3</v>
      </c>
      <c r="I122" s="69">
        <v>0.31</v>
      </c>
      <c r="J122" s="69">
        <v>0.33</v>
      </c>
      <c r="K122" s="70">
        <v>0.33</v>
      </c>
      <c r="L122" s="69">
        <v>0.35</v>
      </c>
      <c r="M122" s="31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</row>
    <row r="123" spans="1:27" s="39" customFormat="1" ht="14.25" customHeight="1" x14ac:dyDescent="0.2">
      <c r="A123" s="30"/>
      <c r="B123" s="4" t="s">
        <v>172</v>
      </c>
      <c r="C123" s="4"/>
      <c r="D123" s="1"/>
      <c r="E123" s="1"/>
      <c r="F123" s="1"/>
      <c r="G123" s="69"/>
      <c r="H123" s="69"/>
      <c r="I123" s="69"/>
      <c r="J123" s="69"/>
      <c r="K123" s="70"/>
      <c r="L123" s="69"/>
      <c r="M123" s="31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</row>
    <row r="124" spans="1:27" s="39" customFormat="1" ht="14.25" customHeight="1" x14ac:dyDescent="0.2">
      <c r="A124" s="30"/>
      <c r="B124" s="7" t="s">
        <v>173</v>
      </c>
      <c r="C124" s="7"/>
      <c r="D124" s="7"/>
      <c r="E124" s="7"/>
      <c r="F124" s="7"/>
      <c r="G124" s="72">
        <f t="shared" ref="G124:L124" si="60">SUM(G119:G123)</f>
        <v>1</v>
      </c>
      <c r="H124" s="72">
        <f t="shared" si="60"/>
        <v>1</v>
      </c>
      <c r="I124" s="72">
        <f t="shared" si="60"/>
        <v>1</v>
      </c>
      <c r="J124" s="72">
        <f t="shared" si="60"/>
        <v>1</v>
      </c>
      <c r="K124" s="72">
        <f t="shared" si="60"/>
        <v>1</v>
      </c>
      <c r="L124" s="72">
        <f t="shared" si="60"/>
        <v>1</v>
      </c>
      <c r="M124" s="31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</row>
    <row r="125" spans="1:27" s="39" customFormat="1" ht="14.25" customHeight="1" x14ac:dyDescent="0.2">
      <c r="A125" s="30"/>
      <c r="B125" s="66" t="s">
        <v>174</v>
      </c>
      <c r="C125" s="31"/>
      <c r="D125" s="31"/>
      <c r="E125" s="31"/>
      <c r="F125" s="31"/>
      <c r="G125" s="35" t="s">
        <v>77</v>
      </c>
      <c r="H125" s="35" t="s">
        <v>77</v>
      </c>
      <c r="I125" s="35" t="s">
        <v>77</v>
      </c>
      <c r="J125" s="35" t="s">
        <v>77</v>
      </c>
      <c r="K125" s="35" t="s">
        <v>78</v>
      </c>
      <c r="L125" s="35" t="s">
        <v>78</v>
      </c>
      <c r="M125" s="31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</row>
    <row r="126" spans="1:27" s="39" customFormat="1" ht="29.25" customHeight="1" x14ac:dyDescent="0.2">
      <c r="A126" s="30"/>
      <c r="B126" s="2" t="s">
        <v>175</v>
      </c>
      <c r="C126" s="2"/>
      <c r="D126" s="2"/>
      <c r="E126" s="2"/>
      <c r="F126" s="2"/>
      <c r="G126" s="37" t="s">
        <v>80</v>
      </c>
      <c r="H126" s="37" t="s">
        <v>81</v>
      </c>
      <c r="I126" s="37" t="s">
        <v>82</v>
      </c>
      <c r="J126" s="37" t="s">
        <v>83</v>
      </c>
      <c r="K126" s="37">
        <v>2025</v>
      </c>
      <c r="L126" s="37">
        <v>2026</v>
      </c>
      <c r="M126" s="31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</row>
    <row r="127" spans="1:27" s="39" customFormat="1" ht="14.25" customHeight="1" x14ac:dyDescent="0.2">
      <c r="A127" s="30"/>
      <c r="B127" s="8" t="s">
        <v>176</v>
      </c>
      <c r="C127" s="8"/>
      <c r="D127" s="8"/>
      <c r="E127" s="8"/>
      <c r="F127" s="8"/>
      <c r="G127" s="58"/>
      <c r="H127" s="58"/>
      <c r="I127" s="58"/>
      <c r="J127" s="58"/>
      <c r="K127" s="59"/>
      <c r="L127" s="58"/>
      <c r="M127" s="31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</row>
    <row r="128" spans="1:27" s="39" customFormat="1" ht="14.25" customHeight="1" x14ac:dyDescent="0.2">
      <c r="A128" s="30"/>
      <c r="B128" s="8" t="s">
        <v>177</v>
      </c>
      <c r="C128" s="8"/>
      <c r="D128" s="8"/>
      <c r="E128" s="8"/>
      <c r="F128" s="8"/>
      <c r="G128" s="58"/>
      <c r="H128" s="58"/>
      <c r="I128" s="58"/>
      <c r="J128" s="58"/>
      <c r="K128" s="59"/>
      <c r="L128" s="5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</row>
    <row r="129" spans="1:27" s="39" customFormat="1" ht="14.25" customHeight="1" x14ac:dyDescent="0.2">
      <c r="A129" s="30"/>
      <c r="B129" s="8" t="s">
        <v>178</v>
      </c>
      <c r="C129" s="8"/>
      <c r="D129" s="8"/>
      <c r="E129" s="8"/>
      <c r="F129" s="8"/>
      <c r="G129" s="58"/>
      <c r="H129" s="58"/>
      <c r="I129" s="58"/>
      <c r="J129" s="58"/>
      <c r="K129" s="59"/>
      <c r="L129" s="5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</row>
    <row r="130" spans="1:27" s="68" customFormat="1" ht="14.25" customHeight="1" x14ac:dyDescent="0.2">
      <c r="A130" s="30"/>
      <c r="B130" s="7" t="s">
        <v>179</v>
      </c>
      <c r="C130" s="7"/>
      <c r="D130" s="7"/>
      <c r="E130" s="7"/>
      <c r="F130" s="7"/>
      <c r="G130" s="73">
        <f t="shared" ref="G130:L130" si="61">SUM(G128:G129)</f>
        <v>0</v>
      </c>
      <c r="H130" s="73">
        <f t="shared" si="61"/>
        <v>0</v>
      </c>
      <c r="I130" s="73">
        <f t="shared" si="61"/>
        <v>0</v>
      </c>
      <c r="J130" s="73">
        <f t="shared" si="61"/>
        <v>0</v>
      </c>
      <c r="K130" s="73">
        <f t="shared" si="61"/>
        <v>0</v>
      </c>
      <c r="L130" s="73">
        <f t="shared" si="61"/>
        <v>0</v>
      </c>
    </row>
    <row r="131" spans="1:27" s="68" customFormat="1" ht="12.75" customHeight="1" x14ac:dyDescent="0.2">
      <c r="B131" s="66" t="s">
        <v>180</v>
      </c>
      <c r="C131" s="31"/>
      <c r="D131" s="31"/>
      <c r="E131" s="31"/>
      <c r="F131" s="31"/>
      <c r="G131" s="31"/>
      <c r="H131" s="31"/>
      <c r="I131" s="31"/>
      <c r="J131" s="31"/>
      <c r="K131" s="31"/>
      <c r="L131" s="31"/>
    </row>
    <row r="132" spans="1:27" s="68" customFormat="1" ht="21" customHeight="1" x14ac:dyDescent="0.2">
      <c r="B132" s="5" t="s">
        <v>181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27" s="68" customFormat="1" ht="42" customHeight="1" x14ac:dyDescent="0.2">
      <c r="B133" s="86" t="s">
        <v>182</v>
      </c>
      <c r="C133" s="86"/>
      <c r="D133" s="86"/>
      <c r="E133" s="86"/>
      <c r="F133" s="86"/>
      <c r="G133" s="86"/>
      <c r="H133" s="86"/>
      <c r="I133" s="86"/>
      <c r="J133" s="86"/>
      <c r="K133" s="86"/>
      <c r="L133" s="86"/>
    </row>
    <row r="134" spans="1:27" s="68" customFormat="1" ht="12.75" customHeight="1" x14ac:dyDescent="0.25">
      <c r="B134" s="74" t="s">
        <v>183</v>
      </c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</row>
    <row r="135" spans="1:27" s="68" customFormat="1" ht="18" customHeight="1" x14ac:dyDescent="0.2">
      <c r="B135" s="5" t="s">
        <v>184</v>
      </c>
      <c r="C135" s="5"/>
      <c r="D135" s="5"/>
      <c r="E135" s="5"/>
      <c r="F135" s="5"/>
      <c r="G135" s="5"/>
      <c r="H135" s="5"/>
      <c r="I135" s="5"/>
      <c r="J135" s="5"/>
      <c r="K135" s="87" t="s">
        <v>185</v>
      </c>
      <c r="L135" s="87"/>
    </row>
    <row r="136" spans="1:27" s="68" customFormat="1" ht="13.5" x14ac:dyDescent="0.2">
      <c r="B136" s="8" t="s">
        <v>186</v>
      </c>
      <c r="C136" s="8"/>
      <c r="D136" s="8"/>
      <c r="E136" s="8"/>
      <c r="F136" s="8"/>
      <c r="G136" s="8"/>
      <c r="H136" s="8"/>
      <c r="I136" s="8"/>
      <c r="J136" s="8"/>
      <c r="K136" s="88"/>
      <c r="L136" s="88"/>
    </row>
    <row r="137" spans="1:27" s="68" customFormat="1" ht="13.5" x14ac:dyDescent="0.2">
      <c r="B137" s="8" t="s">
        <v>187</v>
      </c>
      <c r="C137" s="8"/>
      <c r="D137" s="8"/>
      <c r="E137" s="8"/>
      <c r="F137" s="8"/>
      <c r="G137" s="8"/>
      <c r="H137" s="8"/>
      <c r="I137" s="8"/>
      <c r="J137" s="8"/>
      <c r="K137" s="88"/>
      <c r="L137" s="88"/>
    </row>
    <row r="138" spans="1:27" s="68" customFormat="1" ht="13.5" x14ac:dyDescent="0.2">
      <c r="B138" s="8" t="s">
        <v>188</v>
      </c>
      <c r="C138" s="8"/>
      <c r="D138" s="8"/>
      <c r="E138" s="8"/>
      <c r="F138" s="8"/>
      <c r="G138" s="8"/>
      <c r="H138" s="8"/>
      <c r="I138" s="8"/>
      <c r="J138" s="8"/>
      <c r="K138" s="88"/>
      <c r="L138" s="88"/>
    </row>
    <row r="139" spans="1:27" s="68" customFormat="1" ht="13.5" x14ac:dyDescent="0.2">
      <c r="B139" s="8" t="s">
        <v>189</v>
      </c>
      <c r="C139" s="8"/>
      <c r="D139" s="8"/>
      <c r="E139" s="8"/>
      <c r="F139" s="8"/>
      <c r="G139" s="8"/>
      <c r="H139" s="8"/>
      <c r="I139" s="8"/>
      <c r="J139" s="8"/>
      <c r="K139" s="88"/>
      <c r="L139" s="88"/>
    </row>
    <row r="140" spans="1:27" s="68" customFormat="1" ht="13.5" x14ac:dyDescent="0.2">
      <c r="B140" s="8" t="s">
        <v>190</v>
      </c>
      <c r="C140" s="8"/>
      <c r="D140" s="8"/>
      <c r="E140" s="89"/>
      <c r="F140" s="89"/>
      <c r="G140" s="89"/>
      <c r="H140" s="89"/>
      <c r="I140" s="89"/>
      <c r="J140" s="89"/>
      <c r="K140" s="88"/>
      <c r="L140" s="88"/>
    </row>
    <row r="141" spans="1:27" s="68" customFormat="1" ht="13.5" x14ac:dyDescent="0.2">
      <c r="B141" s="76" t="s">
        <v>191</v>
      </c>
      <c r="C141" s="77"/>
      <c r="D141" s="77"/>
      <c r="E141" s="77"/>
      <c r="F141" s="77"/>
      <c r="G141" s="77"/>
      <c r="H141" s="77"/>
      <c r="I141" s="77"/>
      <c r="J141" s="77"/>
      <c r="K141" s="90">
        <f>SUM(K136:L140)</f>
        <v>0</v>
      </c>
      <c r="L141" s="90"/>
    </row>
    <row r="142" spans="1:27" s="68" customFormat="1" ht="12.75" customHeight="1" x14ac:dyDescent="0.2"/>
    <row r="143" spans="1:27" s="68" customFormat="1" ht="14.25" customHeight="1" x14ac:dyDescent="0.2">
      <c r="B143" s="11" t="s">
        <v>192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33"/>
    </row>
    <row r="144" spans="1:27" s="68" customFormat="1" ht="13.5" x14ac:dyDescent="0.2">
      <c r="B144" s="66" t="s">
        <v>193</v>
      </c>
      <c r="C144" s="31"/>
      <c r="D144" s="31"/>
      <c r="E144" s="31"/>
      <c r="F144" s="31"/>
      <c r="G144" s="31"/>
      <c r="H144" s="31"/>
      <c r="I144" s="31"/>
      <c r="J144" s="31"/>
      <c r="K144" s="31"/>
      <c r="L144" s="31"/>
    </row>
    <row r="145" spans="2:13" s="68" customFormat="1" ht="27" customHeight="1" x14ac:dyDescent="0.2">
      <c r="B145" s="5" t="s">
        <v>194</v>
      </c>
      <c r="C145" s="5"/>
      <c r="D145" s="5"/>
      <c r="E145" s="5"/>
      <c r="F145" s="5"/>
      <c r="G145" s="5"/>
      <c r="H145" s="75" t="s">
        <v>195</v>
      </c>
      <c r="I145" s="75" t="s">
        <v>196</v>
      </c>
      <c r="J145" s="75" t="s">
        <v>197</v>
      </c>
      <c r="K145" s="75" t="s">
        <v>198</v>
      </c>
    </row>
    <row r="146" spans="2:13" s="68" customFormat="1" ht="12.75" customHeight="1" x14ac:dyDescent="0.2">
      <c r="B146" s="8" t="s">
        <v>199</v>
      </c>
      <c r="C146" s="8"/>
      <c r="D146" s="8"/>
      <c r="E146" s="8"/>
      <c r="F146" s="8"/>
      <c r="G146" s="8"/>
      <c r="H146" s="71"/>
      <c r="I146" s="71"/>
      <c r="J146" s="71"/>
      <c r="K146" s="71"/>
    </row>
    <row r="147" spans="2:13" s="68" customFormat="1" ht="12.75" customHeight="1" x14ac:dyDescent="0.2">
      <c r="B147" s="8" t="s">
        <v>200</v>
      </c>
      <c r="C147" s="8"/>
      <c r="D147" s="8"/>
      <c r="E147" s="8"/>
      <c r="F147" s="8"/>
      <c r="G147" s="8"/>
      <c r="H147" s="71"/>
      <c r="I147" s="71"/>
      <c r="J147" s="71"/>
      <c r="K147" s="71"/>
    </row>
    <row r="148" spans="2:13" s="68" customFormat="1" ht="12.75" customHeight="1" x14ac:dyDescent="0.2">
      <c r="B148" s="8" t="s">
        <v>201</v>
      </c>
      <c r="C148" s="8"/>
      <c r="D148" s="8"/>
      <c r="E148" s="8"/>
      <c r="F148" s="8"/>
      <c r="G148" s="8"/>
      <c r="H148" s="71"/>
      <c r="I148" s="71"/>
      <c r="J148" s="71"/>
      <c r="K148" s="71"/>
    </row>
    <row r="149" spans="2:13" s="68" customFormat="1" ht="12.75" customHeight="1" x14ac:dyDescent="0.2">
      <c r="B149" s="8" t="s">
        <v>202</v>
      </c>
      <c r="C149" s="8"/>
      <c r="D149" s="8"/>
      <c r="E149" s="8"/>
      <c r="F149" s="8"/>
      <c r="G149" s="8"/>
      <c r="H149" s="71"/>
      <c r="I149" s="71"/>
      <c r="J149" s="71"/>
      <c r="K149" s="71"/>
    </row>
    <row r="150" spans="2:13" s="68" customFormat="1" ht="12.75" customHeight="1" x14ac:dyDescent="0.2">
      <c r="B150" s="8" t="s">
        <v>203</v>
      </c>
      <c r="C150" s="8"/>
      <c r="D150" s="8"/>
      <c r="E150" s="8"/>
      <c r="F150" s="8"/>
      <c r="G150" s="8"/>
      <c r="H150" s="71"/>
      <c r="I150" s="71"/>
      <c r="J150" s="71"/>
      <c r="K150" s="71"/>
    </row>
    <row r="151" spans="2:13" s="68" customFormat="1" ht="12.75" customHeight="1" x14ac:dyDescent="0.2">
      <c r="B151" s="8" t="s">
        <v>204</v>
      </c>
      <c r="C151" s="8"/>
      <c r="D151" s="8"/>
      <c r="E151" s="8"/>
      <c r="F151" s="8"/>
      <c r="G151" s="8"/>
      <c r="H151" s="71"/>
      <c r="I151" s="71"/>
      <c r="J151" s="71"/>
      <c r="K151" s="71"/>
    </row>
    <row r="152" spans="2:13" s="68" customFormat="1" ht="12.75" customHeight="1" x14ac:dyDescent="0.2">
      <c r="B152" s="7" t="s">
        <v>205</v>
      </c>
      <c r="C152" s="7"/>
      <c r="D152" s="7"/>
      <c r="E152" s="7"/>
      <c r="F152" s="7"/>
      <c r="G152" s="7"/>
      <c r="H152" s="78">
        <f>SUM(H146:H151)</f>
        <v>0</v>
      </c>
      <c r="I152" s="78">
        <f>SUM(I146:I151)</f>
        <v>0</v>
      </c>
      <c r="J152" s="78">
        <f>SUM(J146:J151)</f>
        <v>0</v>
      </c>
      <c r="K152" s="78">
        <f>SUM(K146:K151)</f>
        <v>0</v>
      </c>
    </row>
    <row r="153" spans="2:13" s="68" customFormat="1" ht="12.75" customHeight="1" x14ac:dyDescent="0.2">
      <c r="B153" s="66" t="s">
        <v>206</v>
      </c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</row>
    <row r="154" spans="2:13" s="68" customFormat="1" ht="27" customHeight="1" x14ac:dyDescent="0.2">
      <c r="B154" s="5" t="s">
        <v>207</v>
      </c>
      <c r="C154" s="5"/>
      <c r="D154" s="5"/>
      <c r="E154" s="5"/>
      <c r="F154" s="5"/>
      <c r="G154" s="5"/>
      <c r="H154" s="75" t="s">
        <v>195</v>
      </c>
      <c r="I154" s="75" t="s">
        <v>196</v>
      </c>
      <c r="J154" s="75" t="s">
        <v>197</v>
      </c>
      <c r="K154" s="75" t="s">
        <v>198</v>
      </c>
    </row>
    <row r="155" spans="2:13" s="68" customFormat="1" ht="12.75" customHeight="1" x14ac:dyDescent="0.2">
      <c r="B155" s="91" t="s">
        <v>208</v>
      </c>
      <c r="C155" s="91"/>
      <c r="D155" s="91"/>
      <c r="E155" s="91"/>
      <c r="F155" s="91"/>
      <c r="G155" s="47"/>
      <c r="H155" s="71"/>
      <c r="I155" s="71"/>
      <c r="J155" s="71"/>
      <c r="K155" s="71"/>
    </row>
    <row r="156" spans="2:13" s="68" customFormat="1" ht="12.75" customHeight="1" x14ac:dyDescent="0.2">
      <c r="B156" s="91" t="s">
        <v>209</v>
      </c>
      <c r="C156" s="91"/>
      <c r="D156" s="91"/>
      <c r="E156" s="91"/>
      <c r="F156" s="91"/>
      <c r="G156" s="47"/>
      <c r="H156" s="71"/>
      <c r="I156" s="71"/>
      <c r="J156" s="71"/>
      <c r="K156" s="71"/>
    </row>
    <row r="157" spans="2:13" s="68" customFormat="1" ht="12.75" customHeight="1" x14ac:dyDescent="0.2">
      <c r="B157" s="91" t="s">
        <v>210</v>
      </c>
      <c r="C157" s="91"/>
      <c r="D157" s="91"/>
      <c r="E157" s="91"/>
      <c r="F157" s="91"/>
      <c r="G157" s="47"/>
      <c r="H157" s="71"/>
      <c r="I157" s="71"/>
      <c r="J157" s="71"/>
      <c r="K157" s="71"/>
    </row>
    <row r="158" spans="2:13" s="68" customFormat="1" ht="12.75" customHeight="1" x14ac:dyDescent="0.2">
      <c r="B158" s="91" t="s">
        <v>211</v>
      </c>
      <c r="C158" s="91"/>
      <c r="D158" s="91"/>
      <c r="E158" s="91"/>
      <c r="F158" s="91"/>
      <c r="G158" s="47"/>
      <c r="H158" s="71"/>
      <c r="I158" s="71"/>
      <c r="J158" s="71"/>
      <c r="K158" s="71"/>
    </row>
    <row r="159" spans="2:13" s="68" customFormat="1" ht="12.75" customHeight="1" x14ac:dyDescent="0.2">
      <c r="B159" s="91" t="s">
        <v>212</v>
      </c>
      <c r="C159" s="91"/>
      <c r="D159" s="91"/>
      <c r="E159" s="91"/>
      <c r="F159" s="91"/>
      <c r="G159" s="47"/>
      <c r="H159" s="71"/>
      <c r="I159" s="71"/>
      <c r="J159" s="71"/>
      <c r="K159" s="71"/>
    </row>
    <row r="160" spans="2:13" s="68" customFormat="1" ht="12.75" customHeight="1" x14ac:dyDescent="0.2">
      <c r="B160" s="91" t="s">
        <v>213</v>
      </c>
      <c r="C160" s="91"/>
      <c r="D160" s="91"/>
      <c r="E160" s="91"/>
      <c r="F160" s="91"/>
      <c r="G160" s="47"/>
      <c r="H160" s="71"/>
      <c r="I160" s="71"/>
      <c r="J160" s="71"/>
      <c r="K160" s="71"/>
    </row>
    <row r="161" spans="2:14" s="68" customFormat="1" ht="12.75" customHeight="1" x14ac:dyDescent="0.2">
      <c r="B161" s="92" t="s">
        <v>205</v>
      </c>
      <c r="C161" s="92"/>
      <c r="D161" s="92"/>
      <c r="E161" s="92"/>
      <c r="F161" s="92"/>
      <c r="G161" s="61"/>
      <c r="H161" s="78">
        <f>SUM(H155:H160)</f>
        <v>0</v>
      </c>
      <c r="I161" s="78">
        <f>SUM(I155:I160)</f>
        <v>0</v>
      </c>
      <c r="J161" s="78">
        <f>SUM(J155:J160)</f>
        <v>0</v>
      </c>
      <c r="K161" s="78">
        <f>SUM(K155:K160)</f>
        <v>0</v>
      </c>
    </row>
    <row r="162" spans="2:14" s="68" customFormat="1" ht="12.75" customHeight="1" x14ac:dyDescent="0.2">
      <c r="B162" s="66" t="s">
        <v>214</v>
      </c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  <row r="163" spans="2:14" s="68" customFormat="1" ht="25.5" customHeight="1" x14ac:dyDescent="0.2">
      <c r="B163" s="5" t="s">
        <v>215</v>
      </c>
      <c r="C163" s="5"/>
      <c r="D163" s="5"/>
      <c r="E163" s="5"/>
      <c r="F163" s="5"/>
      <c r="G163" s="5"/>
      <c r="H163" s="79" t="s">
        <v>195</v>
      </c>
      <c r="I163" s="79" t="s">
        <v>196</v>
      </c>
      <c r="J163" s="79" t="s">
        <v>197</v>
      </c>
      <c r="K163" s="79" t="s">
        <v>198</v>
      </c>
    </row>
    <row r="164" spans="2:14" s="68" customFormat="1" ht="12.75" customHeight="1" x14ac:dyDescent="0.2">
      <c r="B164" s="91" t="s">
        <v>216</v>
      </c>
      <c r="C164" s="91"/>
      <c r="D164" s="91"/>
      <c r="E164" s="91"/>
      <c r="F164" s="91"/>
      <c r="G164" s="47"/>
      <c r="H164" s="69"/>
      <c r="I164" s="69"/>
      <c r="J164" s="69"/>
      <c r="K164" s="69"/>
    </row>
    <row r="165" spans="2:14" s="68" customFormat="1" ht="12.75" customHeight="1" x14ac:dyDescent="0.2">
      <c r="B165" s="91" t="s">
        <v>217</v>
      </c>
      <c r="C165" s="91"/>
      <c r="D165" s="91"/>
      <c r="E165" s="91"/>
      <c r="F165" s="91"/>
      <c r="G165" s="47"/>
      <c r="H165" s="69"/>
      <c r="I165" s="69"/>
      <c r="J165" s="69"/>
      <c r="K165" s="69"/>
    </row>
    <row r="166" spans="2:14" s="68" customFormat="1" ht="12.75" customHeight="1" x14ac:dyDescent="0.2">
      <c r="B166" s="91" t="s">
        <v>218</v>
      </c>
      <c r="C166" s="91"/>
      <c r="D166" s="91"/>
      <c r="E166" s="91"/>
      <c r="F166" s="91"/>
      <c r="G166" s="47"/>
      <c r="H166" s="69"/>
      <c r="I166" s="69"/>
      <c r="J166" s="69"/>
      <c r="K166" s="69"/>
    </row>
    <row r="167" spans="2:14" s="68" customFormat="1" ht="12.75" customHeight="1" x14ac:dyDescent="0.2">
      <c r="B167" s="91" t="s">
        <v>219</v>
      </c>
      <c r="C167" s="91"/>
      <c r="D167" s="91"/>
      <c r="E167" s="91"/>
      <c r="F167" s="91"/>
      <c r="G167" s="47"/>
      <c r="H167" s="69"/>
      <c r="I167" s="69"/>
      <c r="J167" s="69"/>
      <c r="K167" s="69"/>
    </row>
    <row r="168" spans="2:14" s="68" customFormat="1" ht="12.75" customHeight="1" x14ac:dyDescent="0.2">
      <c r="B168" s="91" t="s">
        <v>220</v>
      </c>
      <c r="C168" s="91"/>
      <c r="D168" s="91"/>
      <c r="E168" s="91"/>
      <c r="F168" s="91"/>
      <c r="G168" s="47"/>
      <c r="H168" s="69"/>
      <c r="I168" s="69"/>
      <c r="J168" s="69"/>
      <c r="K168" s="69"/>
    </row>
    <row r="169" spans="2:14" s="68" customFormat="1" ht="12.75" customHeight="1" x14ac:dyDescent="0.2">
      <c r="B169" s="91" t="s">
        <v>221</v>
      </c>
      <c r="C169" s="91"/>
      <c r="D169" s="91"/>
      <c r="E169" s="91"/>
      <c r="F169" s="91"/>
      <c r="G169" s="47"/>
      <c r="H169" s="69"/>
      <c r="I169" s="69"/>
      <c r="J169" s="69"/>
      <c r="K169" s="69"/>
    </row>
    <row r="170" spans="2:14" s="68" customFormat="1" ht="12.75" customHeight="1" x14ac:dyDescent="0.2">
      <c r="B170" s="91" t="s">
        <v>222</v>
      </c>
      <c r="C170" s="91"/>
      <c r="D170" s="91"/>
      <c r="E170" s="91"/>
      <c r="F170" s="91"/>
      <c r="G170" s="47"/>
      <c r="H170" s="69"/>
      <c r="I170" s="69"/>
      <c r="J170" s="69"/>
      <c r="K170" s="69"/>
    </row>
    <row r="171" spans="2:14" s="68" customFormat="1" ht="12.75" customHeight="1" x14ac:dyDescent="0.2">
      <c r="B171" s="92" t="s">
        <v>173</v>
      </c>
      <c r="C171" s="92"/>
      <c r="D171" s="92"/>
      <c r="E171" s="92"/>
      <c r="F171" s="92"/>
      <c r="G171" s="61"/>
      <c r="H171" s="78">
        <f>SUM(H164:H170)</f>
        <v>0</v>
      </c>
      <c r="I171" s="78">
        <f>SUM(I164:I170)</f>
        <v>0</v>
      </c>
      <c r="J171" s="78">
        <f>SUM(J164:J170)</f>
        <v>0</v>
      </c>
      <c r="K171" s="78">
        <f>SUM(K164:K170)</f>
        <v>0</v>
      </c>
    </row>
    <row r="172" spans="2:14" s="68" customFormat="1" ht="12.75" customHeight="1" x14ac:dyDescent="0.2">
      <c r="B172" s="66" t="s">
        <v>223</v>
      </c>
      <c r="C172" s="31"/>
      <c r="D172" s="31"/>
      <c r="E172" s="31"/>
      <c r="F172" s="31"/>
      <c r="G172" s="31"/>
      <c r="H172" s="31"/>
      <c r="I172" s="31"/>
      <c r="J172" s="31"/>
      <c r="K172" s="31"/>
    </row>
    <row r="173" spans="2:14" s="68" customFormat="1" ht="27" customHeight="1" x14ac:dyDescent="0.2">
      <c r="B173" s="93" t="s">
        <v>224</v>
      </c>
      <c r="C173" s="93"/>
      <c r="D173" s="93"/>
      <c r="E173" s="93"/>
      <c r="F173" s="93"/>
      <c r="G173" s="80"/>
      <c r="H173" s="81" t="s">
        <v>195</v>
      </c>
      <c r="I173" s="81" t="s">
        <v>196</v>
      </c>
      <c r="J173" s="81" t="s">
        <v>197</v>
      </c>
      <c r="K173" s="75" t="s">
        <v>198</v>
      </c>
    </row>
    <row r="174" spans="2:14" s="68" customFormat="1" ht="12.75" customHeight="1" x14ac:dyDescent="0.2">
      <c r="B174" s="8" t="s">
        <v>225</v>
      </c>
      <c r="C174" s="8"/>
      <c r="D174" s="8"/>
      <c r="E174" s="8"/>
      <c r="F174" s="8"/>
      <c r="G174" s="8"/>
      <c r="H174" s="71">
        <v>0.06</v>
      </c>
      <c r="I174" s="71">
        <v>0.25</v>
      </c>
      <c r="J174" s="71"/>
      <c r="K174" s="71">
        <v>0.05</v>
      </c>
    </row>
    <row r="175" spans="2:14" s="68" customFormat="1" ht="12.75" customHeight="1" x14ac:dyDescent="0.2">
      <c r="B175" s="8" t="s">
        <v>226</v>
      </c>
      <c r="C175" s="8"/>
      <c r="D175" s="8"/>
      <c r="E175" s="8"/>
      <c r="F175" s="8"/>
      <c r="G175" s="8"/>
      <c r="H175" s="71">
        <v>0.18</v>
      </c>
      <c r="I175" s="71"/>
      <c r="J175" s="71"/>
      <c r="K175" s="71">
        <v>0.23</v>
      </c>
    </row>
    <row r="176" spans="2:14" s="68" customFormat="1" ht="12.75" customHeight="1" x14ac:dyDescent="0.2">
      <c r="B176" s="8" t="s">
        <v>227</v>
      </c>
      <c r="C176" s="8"/>
      <c r="D176" s="8"/>
      <c r="E176" s="8"/>
      <c r="F176" s="8"/>
      <c r="G176" s="8"/>
      <c r="H176" s="71">
        <v>0.08</v>
      </c>
      <c r="I176" s="71">
        <v>0.55000000000000004</v>
      </c>
      <c r="J176" s="71"/>
      <c r="K176" s="71">
        <v>0.04</v>
      </c>
    </row>
    <row r="177" spans="2:11" s="68" customFormat="1" ht="12.75" customHeight="1" x14ac:dyDescent="0.2">
      <c r="B177" s="8" t="s">
        <v>228</v>
      </c>
      <c r="C177" s="8"/>
      <c r="D177" s="8"/>
      <c r="E177" s="8"/>
      <c r="F177" s="8"/>
      <c r="G177" s="8"/>
      <c r="H177" s="71">
        <v>0.02</v>
      </c>
      <c r="I177" s="71"/>
      <c r="J177" s="71"/>
      <c r="K177" s="71">
        <v>0.02</v>
      </c>
    </row>
    <row r="178" spans="2:11" s="68" customFormat="1" ht="12.75" customHeight="1" x14ac:dyDescent="0.2">
      <c r="B178" s="8" t="s">
        <v>229</v>
      </c>
      <c r="C178" s="8"/>
      <c r="D178" s="8"/>
      <c r="E178" s="8"/>
      <c r="F178" s="8"/>
      <c r="G178" s="8"/>
      <c r="H178" s="71">
        <v>0.1</v>
      </c>
      <c r="I178" s="71"/>
      <c r="J178" s="71"/>
      <c r="K178" s="71">
        <v>0.1</v>
      </c>
    </row>
    <row r="179" spans="2:11" s="68" customFormat="1" ht="12.75" customHeight="1" x14ac:dyDescent="0.2">
      <c r="B179" s="8" t="s">
        <v>230</v>
      </c>
      <c r="C179" s="8"/>
      <c r="D179" s="8"/>
      <c r="E179" s="8"/>
      <c r="F179" s="8"/>
      <c r="G179" s="8"/>
      <c r="H179" s="71">
        <v>7.0000000000000007E-2</v>
      </c>
      <c r="I179" s="71"/>
      <c r="J179" s="71"/>
      <c r="K179" s="71">
        <v>0.05</v>
      </c>
    </row>
    <row r="180" spans="2:11" s="68" customFormat="1" ht="12.75" customHeight="1" x14ac:dyDescent="0.2">
      <c r="B180" s="8" t="s">
        <v>231</v>
      </c>
      <c r="C180" s="8"/>
      <c r="D180" s="8"/>
      <c r="E180" s="8"/>
      <c r="F180" s="8"/>
      <c r="G180" s="8"/>
      <c r="H180" s="71">
        <v>0.09</v>
      </c>
      <c r="I180" s="71">
        <v>7.0000000000000007E-2</v>
      </c>
      <c r="J180" s="71"/>
      <c r="K180" s="71">
        <v>0.09</v>
      </c>
    </row>
    <row r="181" spans="2:11" s="68" customFormat="1" ht="12.75" customHeight="1" x14ac:dyDescent="0.2">
      <c r="B181" s="8" t="s">
        <v>232</v>
      </c>
      <c r="C181" s="8"/>
      <c r="D181" s="8"/>
      <c r="E181" s="8"/>
      <c r="F181" s="8"/>
      <c r="G181" s="8"/>
      <c r="H181" s="71">
        <v>0.01</v>
      </c>
      <c r="I181" s="71"/>
      <c r="J181" s="71"/>
      <c r="K181" s="71">
        <v>0.02</v>
      </c>
    </row>
    <row r="182" spans="2:11" s="68" customFormat="1" ht="12.75" customHeight="1" x14ac:dyDescent="0.2">
      <c r="B182" s="45" t="s">
        <v>233</v>
      </c>
      <c r="C182" s="46"/>
      <c r="D182" s="46"/>
      <c r="E182" s="46"/>
      <c r="F182" s="46"/>
      <c r="G182" s="47"/>
      <c r="H182" s="71">
        <v>0.14000000000000001</v>
      </c>
      <c r="I182" s="71"/>
      <c r="J182" s="71"/>
      <c r="K182" s="71">
        <v>0.14000000000000001</v>
      </c>
    </row>
    <row r="183" spans="2:11" s="68" customFormat="1" ht="12.75" customHeight="1" x14ac:dyDescent="0.2">
      <c r="B183" s="8" t="s">
        <v>234</v>
      </c>
      <c r="C183" s="8"/>
      <c r="D183" s="8"/>
      <c r="E183" s="8"/>
      <c r="F183" s="8"/>
      <c r="G183" s="8"/>
      <c r="H183" s="71">
        <v>0.13</v>
      </c>
      <c r="I183" s="71"/>
      <c r="J183" s="71"/>
      <c r="K183" s="71">
        <v>0.15</v>
      </c>
    </row>
    <row r="184" spans="2:11" s="68" customFormat="1" ht="12.75" customHeight="1" x14ac:dyDescent="0.2">
      <c r="B184" s="45" t="s">
        <v>235</v>
      </c>
      <c r="C184" s="46"/>
      <c r="D184" s="46"/>
      <c r="E184" s="46"/>
      <c r="F184" s="46"/>
      <c r="G184" s="47"/>
      <c r="H184" s="71">
        <v>0.02</v>
      </c>
      <c r="I184" s="71"/>
      <c r="J184" s="71"/>
      <c r="K184" s="71">
        <v>0.02</v>
      </c>
    </row>
    <row r="185" spans="2:11" s="68" customFormat="1" ht="11.25" customHeight="1" x14ac:dyDescent="0.2">
      <c r="B185" s="8" t="s">
        <v>236</v>
      </c>
      <c r="C185" s="8"/>
      <c r="D185" s="8"/>
      <c r="E185" s="8"/>
      <c r="F185" s="8"/>
      <c r="G185" s="8"/>
      <c r="H185" s="71">
        <v>0.04</v>
      </c>
      <c r="I185" s="71"/>
      <c r="J185" s="71"/>
      <c r="K185" s="71">
        <v>0.03</v>
      </c>
    </row>
    <row r="186" spans="2:11" s="68" customFormat="1" ht="12.75" customHeight="1" x14ac:dyDescent="0.2">
      <c r="B186" s="45" t="s">
        <v>237</v>
      </c>
      <c r="C186" s="46"/>
      <c r="D186" s="46"/>
      <c r="E186" s="46"/>
      <c r="F186" s="46"/>
      <c r="G186" s="47"/>
      <c r="H186" s="71">
        <v>0.02</v>
      </c>
      <c r="I186" s="71"/>
      <c r="J186" s="71"/>
      <c r="K186" s="71">
        <v>0.01</v>
      </c>
    </row>
    <row r="187" spans="2:11" s="68" customFormat="1" ht="12.75" customHeight="1" x14ac:dyDescent="0.2">
      <c r="B187" s="8" t="s">
        <v>238</v>
      </c>
      <c r="C187" s="8"/>
      <c r="D187" s="8"/>
      <c r="E187" s="8"/>
      <c r="F187" s="8"/>
      <c r="G187" s="8"/>
      <c r="H187" s="71">
        <v>0.02</v>
      </c>
      <c r="I187" s="71"/>
      <c r="J187" s="71"/>
      <c r="K187" s="71"/>
    </row>
    <row r="188" spans="2:11" s="68" customFormat="1" ht="12.75" customHeight="1" x14ac:dyDescent="0.2">
      <c r="B188" s="8" t="s">
        <v>239</v>
      </c>
      <c r="C188" s="8"/>
      <c r="D188" s="8"/>
      <c r="E188" s="8"/>
      <c r="F188" s="8"/>
      <c r="G188" s="8"/>
      <c r="H188" s="71">
        <v>0.01</v>
      </c>
      <c r="I188" s="71"/>
      <c r="J188" s="71"/>
      <c r="K188" s="71"/>
    </row>
    <row r="189" spans="2:11" s="68" customFormat="1" ht="12.75" customHeight="1" x14ac:dyDescent="0.2">
      <c r="B189" s="8" t="s">
        <v>240</v>
      </c>
      <c r="C189" s="8"/>
      <c r="D189" s="8"/>
      <c r="E189" s="8"/>
      <c r="F189" s="8"/>
      <c r="G189" s="8"/>
      <c r="H189" s="71">
        <v>0.01</v>
      </c>
      <c r="I189" s="71">
        <v>0.13</v>
      </c>
      <c r="J189" s="71"/>
      <c r="K189" s="71">
        <v>0.05</v>
      </c>
    </row>
    <row r="190" spans="2:11" s="68" customFormat="1" ht="12.75" customHeight="1" x14ac:dyDescent="0.2">
      <c r="B190" s="45" t="s">
        <v>241</v>
      </c>
      <c r="C190" s="46"/>
      <c r="D190" s="46"/>
      <c r="E190" s="46"/>
      <c r="F190" s="46"/>
      <c r="G190" s="47"/>
      <c r="H190" s="71"/>
      <c r="I190" s="71"/>
      <c r="J190" s="71"/>
      <c r="K190" s="71"/>
    </row>
    <row r="191" spans="2:11" s="68" customFormat="1" ht="12.75" customHeight="1" x14ac:dyDescent="0.2">
      <c r="B191" s="45" t="s">
        <v>242</v>
      </c>
      <c r="C191" s="46"/>
      <c r="D191" s="46"/>
      <c r="E191" s="46"/>
      <c r="F191" s="46"/>
      <c r="G191" s="47"/>
      <c r="H191" s="71"/>
      <c r="I191" s="71"/>
      <c r="J191" s="71"/>
      <c r="K191" s="71"/>
    </row>
    <row r="192" spans="2:11" s="68" customFormat="1" ht="12.75" customHeight="1" x14ac:dyDescent="0.2">
      <c r="B192" s="8" t="s">
        <v>243</v>
      </c>
      <c r="C192" s="8"/>
      <c r="D192" s="8"/>
      <c r="E192" s="8"/>
      <c r="F192" s="8"/>
      <c r="G192" s="8"/>
      <c r="H192" s="71"/>
      <c r="I192" s="71"/>
      <c r="J192" s="71"/>
      <c r="K192" s="71"/>
    </row>
    <row r="193" spans="2:11" s="68" customFormat="1" ht="12.75" customHeight="1" x14ac:dyDescent="0.2">
      <c r="B193" s="7" t="s">
        <v>173</v>
      </c>
      <c r="C193" s="7"/>
      <c r="D193" s="7"/>
      <c r="E193" s="7"/>
      <c r="F193" s="7"/>
      <c r="G193" s="7"/>
      <c r="H193" s="78">
        <f>SUM(H174:H192)</f>
        <v>1</v>
      </c>
      <c r="I193" s="78">
        <f>SUM(I174:I192)</f>
        <v>1</v>
      </c>
      <c r="J193" s="78">
        <f>SUM(J174:J192)</f>
        <v>0</v>
      </c>
      <c r="K193" s="78">
        <f>SUM(K174:K192)</f>
        <v>1.0000000000000002</v>
      </c>
    </row>
    <row r="194" spans="2:11" s="68" customFormat="1" ht="12.75" customHeight="1" x14ac:dyDescent="0.2">
      <c r="B194" s="66" t="s">
        <v>244</v>
      </c>
      <c r="C194" s="31"/>
      <c r="D194" s="31"/>
      <c r="E194" s="31"/>
      <c r="F194" s="31"/>
      <c r="G194" s="31"/>
      <c r="H194" s="31"/>
      <c r="I194" s="31"/>
      <c r="J194" s="31"/>
      <c r="K194" s="31"/>
    </row>
    <row r="195" spans="2:11" s="68" customFormat="1" ht="27" customHeight="1" x14ac:dyDescent="0.2">
      <c r="B195" s="93" t="s">
        <v>245</v>
      </c>
      <c r="C195" s="93"/>
      <c r="D195" s="93"/>
      <c r="E195" s="93"/>
      <c r="F195" s="93"/>
      <c r="G195" s="80"/>
      <c r="H195" s="82" t="s">
        <v>195</v>
      </c>
      <c r="I195" s="82" t="s">
        <v>196</v>
      </c>
      <c r="J195" s="82" t="s">
        <v>197</v>
      </c>
      <c r="K195" s="75" t="s">
        <v>198</v>
      </c>
    </row>
    <row r="196" spans="2:11" s="68" customFormat="1" ht="12.75" customHeight="1" x14ac:dyDescent="0.25">
      <c r="B196" s="8" t="s">
        <v>246</v>
      </c>
      <c r="C196" s="8"/>
      <c r="D196" s="8"/>
      <c r="E196" s="8"/>
      <c r="F196" s="8"/>
      <c r="G196" s="8"/>
      <c r="H196" s="83">
        <v>0.59</v>
      </c>
      <c r="I196" s="83"/>
      <c r="J196" s="83"/>
      <c r="K196" s="83">
        <v>0.67</v>
      </c>
    </row>
    <row r="197" spans="2:11" s="68" customFormat="1" ht="12.75" customHeight="1" x14ac:dyDescent="0.25">
      <c r="B197" s="91" t="s">
        <v>247</v>
      </c>
      <c r="C197" s="91"/>
      <c r="D197" s="91"/>
      <c r="E197" s="91"/>
      <c r="F197" s="91"/>
      <c r="G197" s="47"/>
      <c r="H197" s="83">
        <v>0.09</v>
      </c>
      <c r="I197" s="83"/>
      <c r="J197" s="83"/>
      <c r="K197" s="83">
        <v>9.0999999999999998E-2</v>
      </c>
    </row>
    <row r="198" spans="2:11" s="68" customFormat="1" ht="12.75" customHeight="1" x14ac:dyDescent="0.25">
      <c r="B198" s="91" t="s">
        <v>248</v>
      </c>
      <c r="C198" s="91"/>
      <c r="D198" s="91"/>
      <c r="E198" s="91"/>
      <c r="F198" s="91"/>
      <c r="G198" s="47"/>
      <c r="H198" s="83">
        <v>4.1000000000000002E-2</v>
      </c>
      <c r="I198" s="83"/>
      <c r="J198" s="83"/>
      <c r="K198" s="83">
        <v>0.05</v>
      </c>
    </row>
    <row r="199" spans="2:11" s="68" customFormat="1" ht="12.75" customHeight="1" x14ac:dyDescent="0.25">
      <c r="B199" s="91" t="s">
        <v>249</v>
      </c>
      <c r="C199" s="91"/>
      <c r="D199" s="91"/>
      <c r="E199" s="91"/>
      <c r="F199" s="91"/>
      <c r="G199" s="47"/>
      <c r="H199" s="83">
        <v>0.01</v>
      </c>
      <c r="I199" s="83"/>
      <c r="J199" s="83"/>
      <c r="K199" s="83">
        <v>0.01</v>
      </c>
    </row>
    <row r="200" spans="2:11" s="68" customFormat="1" ht="12.75" customHeight="1" x14ac:dyDescent="0.25">
      <c r="B200" s="91" t="s">
        <v>250</v>
      </c>
      <c r="C200" s="91"/>
      <c r="D200" s="91"/>
      <c r="E200" s="91"/>
      <c r="F200" s="91"/>
      <c r="G200" s="47"/>
      <c r="H200" s="83">
        <v>0.01</v>
      </c>
      <c r="I200" s="83"/>
      <c r="J200" s="83"/>
      <c r="K200" s="83">
        <v>0.01</v>
      </c>
    </row>
    <row r="201" spans="2:11" s="68" customFormat="1" ht="12.75" customHeight="1" x14ac:dyDescent="0.25">
      <c r="B201" s="91" t="s">
        <v>251</v>
      </c>
      <c r="C201" s="91"/>
      <c r="D201" s="91"/>
      <c r="E201" s="91"/>
      <c r="F201" s="91"/>
      <c r="G201" s="47"/>
      <c r="H201" s="83">
        <v>0.01</v>
      </c>
      <c r="I201" s="83"/>
      <c r="J201" s="83"/>
      <c r="K201" s="83">
        <v>0.01</v>
      </c>
    </row>
    <row r="202" spans="2:11" s="68" customFormat="1" ht="12.75" customHeight="1" x14ac:dyDescent="0.25">
      <c r="B202" s="91" t="s">
        <v>252</v>
      </c>
      <c r="C202" s="91"/>
      <c r="D202" s="91"/>
      <c r="E202" s="91"/>
      <c r="F202" s="91"/>
      <c r="G202" s="47"/>
      <c r="H202" s="83">
        <v>0</v>
      </c>
      <c r="I202" s="83"/>
      <c r="J202" s="83"/>
      <c r="K202" s="83">
        <v>0</v>
      </c>
    </row>
    <row r="203" spans="2:11" s="68" customFormat="1" ht="12.75" customHeight="1" x14ac:dyDescent="0.25">
      <c r="B203" s="91" t="s">
        <v>253</v>
      </c>
      <c r="C203" s="91"/>
      <c r="D203" s="91"/>
      <c r="E203" s="91"/>
      <c r="F203" s="91"/>
      <c r="G203" s="47"/>
      <c r="H203" s="83">
        <v>0.01</v>
      </c>
      <c r="I203" s="83"/>
      <c r="J203" s="83"/>
      <c r="K203" s="83">
        <v>0.01</v>
      </c>
    </row>
    <row r="204" spans="2:11" s="68" customFormat="1" ht="12.75" customHeight="1" x14ac:dyDescent="0.25">
      <c r="B204" s="91" t="s">
        <v>254</v>
      </c>
      <c r="C204" s="91"/>
      <c r="D204" s="91"/>
      <c r="E204" s="91"/>
      <c r="F204" s="91"/>
      <c r="G204" s="47"/>
      <c r="H204" s="83">
        <v>0.03</v>
      </c>
      <c r="I204" s="83"/>
      <c r="J204" s="83"/>
      <c r="K204" s="83">
        <v>0.02</v>
      </c>
    </row>
    <row r="205" spans="2:11" s="68" customFormat="1" ht="12.75" customHeight="1" x14ac:dyDescent="0.25">
      <c r="B205" s="91" t="s">
        <v>255</v>
      </c>
      <c r="C205" s="91"/>
      <c r="D205" s="91"/>
      <c r="E205" s="91"/>
      <c r="F205" s="91"/>
      <c r="G205" s="47"/>
      <c r="H205" s="83">
        <v>0.01</v>
      </c>
      <c r="I205" s="83"/>
      <c r="J205" s="83"/>
      <c r="K205" s="83">
        <v>0.01</v>
      </c>
    </row>
    <row r="206" spans="2:11" s="68" customFormat="1" ht="13.5" customHeight="1" x14ac:dyDescent="0.25">
      <c r="B206" s="94" t="s">
        <v>256</v>
      </c>
      <c r="C206" s="94"/>
      <c r="D206" s="8" t="s">
        <v>257</v>
      </c>
      <c r="E206" s="8"/>
      <c r="F206" s="8"/>
      <c r="G206" s="8"/>
      <c r="H206" s="83">
        <v>0.03</v>
      </c>
      <c r="I206" s="83"/>
      <c r="J206" s="83"/>
      <c r="K206" s="83"/>
    </row>
    <row r="207" spans="2:11" s="68" customFormat="1" ht="12.75" customHeight="1" x14ac:dyDescent="0.2">
      <c r="B207" s="94"/>
      <c r="C207" s="94"/>
      <c r="D207" s="8" t="s">
        <v>258</v>
      </c>
      <c r="E207" s="8"/>
      <c r="F207" s="8"/>
      <c r="G207" s="8"/>
      <c r="H207" s="84">
        <v>0</v>
      </c>
      <c r="I207" s="84"/>
      <c r="J207" s="84"/>
      <c r="K207" s="84">
        <v>0</v>
      </c>
    </row>
    <row r="208" spans="2:11" s="68" customFormat="1" ht="12.75" customHeight="1" x14ac:dyDescent="0.25">
      <c r="B208" s="94"/>
      <c r="C208" s="94"/>
      <c r="D208" s="8" t="s">
        <v>259</v>
      </c>
      <c r="E208" s="8"/>
      <c r="F208" s="8"/>
      <c r="G208" s="8"/>
      <c r="H208" s="83"/>
      <c r="I208" s="83"/>
      <c r="J208" s="83"/>
      <c r="K208" s="83"/>
    </row>
    <row r="209" spans="2:26" s="68" customFormat="1" ht="12.75" customHeight="1" x14ac:dyDescent="0.25">
      <c r="B209" s="94"/>
      <c r="C209" s="94"/>
      <c r="D209" s="8" t="s">
        <v>260</v>
      </c>
      <c r="E209" s="8"/>
      <c r="F209" s="8"/>
      <c r="G209" s="8"/>
      <c r="H209" s="83"/>
      <c r="I209" s="83"/>
      <c r="J209" s="83"/>
      <c r="K209" s="83"/>
    </row>
    <row r="210" spans="2:26" s="68" customFormat="1" ht="12.75" customHeight="1" x14ac:dyDescent="0.25">
      <c r="B210" s="94"/>
      <c r="C210" s="94"/>
      <c r="D210" s="8" t="s">
        <v>261</v>
      </c>
      <c r="E210" s="8"/>
      <c r="F210" s="8"/>
      <c r="G210" s="8"/>
      <c r="H210" s="83"/>
      <c r="I210" s="83"/>
      <c r="J210" s="83"/>
      <c r="K210" s="83"/>
    </row>
    <row r="211" spans="2:26" s="68" customFormat="1" ht="12.75" customHeight="1" x14ac:dyDescent="0.25">
      <c r="B211" s="94"/>
      <c r="C211" s="94"/>
      <c r="D211" s="8" t="s">
        <v>262</v>
      </c>
      <c r="E211" s="8"/>
      <c r="F211" s="8"/>
      <c r="G211" s="8"/>
      <c r="H211" s="83"/>
      <c r="I211" s="83"/>
      <c r="J211" s="83"/>
      <c r="K211" s="83"/>
    </row>
    <row r="212" spans="2:26" s="68" customFormat="1" ht="12.75" customHeight="1" x14ac:dyDescent="0.25">
      <c r="B212" s="94"/>
      <c r="C212" s="94"/>
      <c r="D212" s="8" t="s">
        <v>263</v>
      </c>
      <c r="E212" s="8"/>
      <c r="F212" s="8"/>
      <c r="G212" s="8"/>
      <c r="H212" s="83">
        <v>0</v>
      </c>
      <c r="I212" s="83"/>
      <c r="J212" s="83"/>
      <c r="K212" s="83">
        <v>0</v>
      </c>
    </row>
    <row r="213" spans="2:26" s="68" customFormat="1" ht="12.75" customHeight="1" x14ac:dyDescent="0.25">
      <c r="B213" s="94"/>
      <c r="C213" s="94"/>
      <c r="D213" s="8" t="s">
        <v>264</v>
      </c>
      <c r="E213" s="8"/>
      <c r="F213" s="8"/>
      <c r="G213" s="8"/>
      <c r="H213" s="83">
        <v>0.16</v>
      </c>
      <c r="I213" s="83"/>
      <c r="J213" s="83"/>
      <c r="K213" s="83">
        <v>0.11</v>
      </c>
    </row>
    <row r="214" spans="2:26" s="68" customFormat="1" ht="12.75" customHeight="1" x14ac:dyDescent="0.2">
      <c r="B214" s="92" t="s">
        <v>173</v>
      </c>
      <c r="C214" s="92"/>
      <c r="D214" s="92"/>
      <c r="E214" s="92"/>
      <c r="F214" s="92"/>
      <c r="G214" s="61"/>
      <c r="H214" s="78">
        <f>SUM(H196:H213)</f>
        <v>0.9910000000000001</v>
      </c>
      <c r="I214" s="78">
        <f>SUM(I196:I213)</f>
        <v>0</v>
      </c>
      <c r="J214" s="78">
        <f>SUM(J196:J213)</f>
        <v>0</v>
      </c>
      <c r="K214" s="78">
        <f>SUM(K196:K213)</f>
        <v>0.9910000000000001</v>
      </c>
    </row>
    <row r="215" spans="2:26" s="68" customFormat="1" ht="12.75" customHeight="1" x14ac:dyDescent="0.2">
      <c r="B215" s="66" t="s">
        <v>265</v>
      </c>
      <c r="C215" s="31"/>
      <c r="D215" s="31"/>
      <c r="E215" s="31"/>
      <c r="F215" s="31"/>
      <c r="G215" s="31"/>
      <c r="H215" s="31"/>
      <c r="I215" s="31"/>
      <c r="J215" s="31"/>
      <c r="K215" s="31"/>
    </row>
    <row r="216" spans="2:26" s="68" customFormat="1" ht="27" customHeight="1" x14ac:dyDescent="0.2">
      <c r="B216" s="93" t="s">
        <v>266</v>
      </c>
      <c r="C216" s="93"/>
      <c r="D216" s="93"/>
      <c r="E216" s="93"/>
      <c r="F216" s="93"/>
      <c r="G216" s="80"/>
      <c r="H216" s="82" t="s">
        <v>195</v>
      </c>
      <c r="I216" s="82" t="s">
        <v>196</v>
      </c>
      <c r="J216" s="82" t="s">
        <v>197</v>
      </c>
      <c r="K216" s="75" t="s">
        <v>198</v>
      </c>
    </row>
    <row r="217" spans="2:26" s="68" customFormat="1" ht="12.75" customHeight="1" x14ac:dyDescent="0.25">
      <c r="B217" s="91" t="s">
        <v>267</v>
      </c>
      <c r="C217" s="91"/>
      <c r="D217" s="91"/>
      <c r="E217" s="91"/>
      <c r="F217" s="91"/>
      <c r="G217" s="47"/>
      <c r="H217" s="83">
        <v>0.67</v>
      </c>
      <c r="I217" s="83">
        <v>0.05</v>
      </c>
      <c r="J217" s="83">
        <v>0.25</v>
      </c>
      <c r="K217" s="83">
        <v>0.03</v>
      </c>
    </row>
    <row r="218" spans="2:26" s="68" customFormat="1" ht="12.75" customHeight="1" x14ac:dyDescent="0.25">
      <c r="B218" s="45" t="s">
        <v>268</v>
      </c>
      <c r="C218" s="46"/>
      <c r="D218" s="46"/>
      <c r="E218" s="46"/>
      <c r="F218" s="46"/>
      <c r="G218" s="47"/>
      <c r="H218" s="83">
        <v>0.67</v>
      </c>
      <c r="I218" s="83">
        <v>0.05</v>
      </c>
      <c r="J218" s="83">
        <v>0.25</v>
      </c>
      <c r="K218" s="83">
        <v>0.03</v>
      </c>
    </row>
    <row r="219" spans="2:26" s="68" customFormat="1" ht="12.75" customHeight="1" x14ac:dyDescent="0.2">
      <c r="C219" s="31"/>
      <c r="D219" s="31"/>
      <c r="E219" s="31"/>
      <c r="F219" s="31"/>
      <c r="G219" s="31"/>
      <c r="H219" s="31"/>
      <c r="I219" s="31"/>
      <c r="J219" s="31"/>
      <c r="K219" s="31"/>
      <c r="L219" s="31"/>
    </row>
    <row r="220" spans="2:26" s="68" customFormat="1" ht="13.5" customHeight="1" x14ac:dyDescent="0.2">
      <c r="B220" s="5" t="s">
        <v>269</v>
      </c>
      <c r="C220" s="5"/>
      <c r="D220" s="5"/>
      <c r="E220" s="5"/>
      <c r="F220" s="5"/>
      <c r="G220" s="5"/>
      <c r="H220" s="5"/>
      <c r="I220" s="5"/>
      <c r="J220" s="5"/>
      <c r="K220" s="5"/>
    </row>
    <row r="221" spans="2:26" s="68" customFormat="1" ht="25.5" customHeight="1" x14ac:dyDescent="0.2"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P221" s="85"/>
      <c r="Q221" s="85"/>
      <c r="R221" s="85"/>
      <c r="S221" s="85"/>
      <c r="T221" s="85"/>
      <c r="U221" s="85"/>
      <c r="V221" s="85"/>
      <c r="W221" s="85"/>
    </row>
    <row r="222" spans="2:26" s="68" customFormat="1" ht="12.75" customHeight="1" x14ac:dyDescent="0.2"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S222" s="96"/>
      <c r="T222" s="96"/>
      <c r="U222" s="96"/>
      <c r="V222" s="97"/>
      <c r="W222" s="97"/>
      <c r="X222" s="97"/>
      <c r="Y222" s="97"/>
      <c r="Z222" s="97"/>
    </row>
    <row r="223" spans="2:26" s="68" customFormat="1" ht="12.75" customHeight="1" x14ac:dyDescent="0.2">
      <c r="B223" s="98" t="s">
        <v>270</v>
      </c>
      <c r="C223" s="98"/>
      <c r="D223" s="98"/>
      <c r="E223" s="3" t="s">
        <v>275</v>
      </c>
      <c r="F223" s="3"/>
      <c r="G223" s="3"/>
      <c r="H223" s="3"/>
      <c r="I223" s="3"/>
      <c r="J223" s="3"/>
      <c r="K223" s="3"/>
      <c r="Q223" s="96"/>
      <c r="R223" s="96"/>
      <c r="S223" s="96"/>
      <c r="T223" s="97"/>
      <c r="U223" s="97"/>
      <c r="V223" s="97"/>
      <c r="W223" s="97"/>
      <c r="X223" s="97"/>
    </row>
    <row r="224" spans="2:26" s="68" customFormat="1" ht="12.75" customHeight="1" x14ac:dyDescent="0.2">
      <c r="B224" s="98" t="s">
        <v>271</v>
      </c>
      <c r="C224" s="98"/>
      <c r="D224" s="98"/>
      <c r="E224" s="3" t="s">
        <v>272</v>
      </c>
      <c r="F224" s="3"/>
      <c r="G224" s="3"/>
      <c r="H224" s="3"/>
      <c r="I224" s="3"/>
      <c r="J224" s="3"/>
      <c r="K224" s="3"/>
      <c r="Q224" s="85"/>
      <c r="R224" s="85"/>
      <c r="S224" s="85"/>
      <c r="T224" s="85"/>
      <c r="U224" s="85"/>
      <c r="V224" s="85"/>
      <c r="W224" s="85"/>
      <c r="X224" s="85"/>
    </row>
    <row r="225" spans="1:26" s="68" customFormat="1" ht="13.5" x14ac:dyDescent="0.2">
      <c r="B225" s="98" t="s">
        <v>273</v>
      </c>
      <c r="C225" s="98"/>
      <c r="D225" s="98"/>
      <c r="E225" s="3" t="s">
        <v>277</v>
      </c>
      <c r="F225" s="3"/>
      <c r="G225" s="3"/>
      <c r="H225" s="3"/>
      <c r="I225" s="3"/>
      <c r="J225" s="3"/>
      <c r="K225" s="3"/>
      <c r="Q225" s="85"/>
      <c r="R225" s="99"/>
      <c r="S225" s="99"/>
      <c r="T225" s="99"/>
      <c r="U225" s="99"/>
      <c r="V225" s="99"/>
      <c r="W225" s="99"/>
      <c r="X225" s="99"/>
    </row>
    <row r="226" spans="1:26" s="68" customFormat="1" ht="12.75" customHeight="1" x14ac:dyDescent="0.2">
      <c r="B226" s="98" t="s">
        <v>274</v>
      </c>
      <c r="C226" s="98"/>
      <c r="D226" s="98"/>
      <c r="E226" s="101" t="s">
        <v>276</v>
      </c>
      <c r="F226" s="3"/>
      <c r="G226" s="3"/>
      <c r="H226" s="3"/>
      <c r="I226" s="3"/>
      <c r="J226" s="3"/>
      <c r="K226" s="3"/>
    </row>
    <row r="227" spans="1:26" s="68" customFormat="1" ht="12.75" customHeight="1" x14ac:dyDescent="0.2"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</row>
    <row r="228" spans="1:26" s="68" customFormat="1" ht="13.5" customHeight="1" x14ac:dyDescent="0.2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</sheetData>
  <mergeCells count="225">
    <mergeCell ref="B224:D224"/>
    <mergeCell ref="E224:K224"/>
    <mergeCell ref="B225:D225"/>
    <mergeCell ref="E225:K225"/>
    <mergeCell ref="R225:X225"/>
    <mergeCell ref="B226:D226"/>
    <mergeCell ref="E226:K226"/>
    <mergeCell ref="A228:Z228"/>
    <mergeCell ref="B214:F214"/>
    <mergeCell ref="B216:F216"/>
    <mergeCell ref="B217:F217"/>
    <mergeCell ref="B220:K220"/>
    <mergeCell ref="B221:K221"/>
    <mergeCell ref="S222:U222"/>
    <mergeCell ref="V222:Z222"/>
    <mergeCell ref="B223:D223"/>
    <mergeCell ref="E223:K223"/>
    <mergeCell ref="Q223:S223"/>
    <mergeCell ref="T223:X223"/>
    <mergeCell ref="B199:F199"/>
    <mergeCell ref="B200:F200"/>
    <mergeCell ref="B201:F201"/>
    <mergeCell ref="B202:F202"/>
    <mergeCell ref="B203:F203"/>
    <mergeCell ref="B204:F204"/>
    <mergeCell ref="B205:F205"/>
    <mergeCell ref="B206:C213"/>
    <mergeCell ref="D206:G206"/>
    <mergeCell ref="D207:G207"/>
    <mergeCell ref="D208:G208"/>
    <mergeCell ref="D209:G209"/>
    <mergeCell ref="D210:G210"/>
    <mergeCell ref="D211:G211"/>
    <mergeCell ref="D212:G212"/>
    <mergeCell ref="D213:G213"/>
    <mergeCell ref="B187:G187"/>
    <mergeCell ref="B188:G188"/>
    <mergeCell ref="B189:G189"/>
    <mergeCell ref="B192:G192"/>
    <mergeCell ref="B193:G193"/>
    <mergeCell ref="B195:F195"/>
    <mergeCell ref="B196:G196"/>
    <mergeCell ref="B197:F197"/>
    <mergeCell ref="B198:F198"/>
    <mergeCell ref="B175:G175"/>
    <mergeCell ref="B176:G176"/>
    <mergeCell ref="B177:G177"/>
    <mergeCell ref="B178:G178"/>
    <mergeCell ref="B179:G179"/>
    <mergeCell ref="B180:G180"/>
    <mergeCell ref="B181:G181"/>
    <mergeCell ref="B183:G183"/>
    <mergeCell ref="B185:G185"/>
    <mergeCell ref="B165:F165"/>
    <mergeCell ref="B166:F166"/>
    <mergeCell ref="B167:F167"/>
    <mergeCell ref="B168:F168"/>
    <mergeCell ref="B169:F169"/>
    <mergeCell ref="B170:F170"/>
    <mergeCell ref="B171:F171"/>
    <mergeCell ref="B173:F173"/>
    <mergeCell ref="B174:G174"/>
    <mergeCell ref="B155:F155"/>
    <mergeCell ref="B156:F156"/>
    <mergeCell ref="B157:F157"/>
    <mergeCell ref="B158:F158"/>
    <mergeCell ref="B159:F159"/>
    <mergeCell ref="B160:F160"/>
    <mergeCell ref="B161:F161"/>
    <mergeCell ref="B163:G163"/>
    <mergeCell ref="B164:F164"/>
    <mergeCell ref="B145:G145"/>
    <mergeCell ref="B146:G146"/>
    <mergeCell ref="B147:G147"/>
    <mergeCell ref="B148:G148"/>
    <mergeCell ref="B149:G149"/>
    <mergeCell ref="B150:G150"/>
    <mergeCell ref="B151:G151"/>
    <mergeCell ref="B152:G152"/>
    <mergeCell ref="B154:G154"/>
    <mergeCell ref="B138:J138"/>
    <mergeCell ref="K138:L138"/>
    <mergeCell ref="B139:J139"/>
    <mergeCell ref="K139:L139"/>
    <mergeCell ref="B140:D140"/>
    <mergeCell ref="E140:J140"/>
    <mergeCell ref="K140:L140"/>
    <mergeCell ref="K141:L141"/>
    <mergeCell ref="B143:K143"/>
    <mergeCell ref="B129:F129"/>
    <mergeCell ref="B130:F130"/>
    <mergeCell ref="B132:L132"/>
    <mergeCell ref="B133:L133"/>
    <mergeCell ref="B135:J135"/>
    <mergeCell ref="K135:L135"/>
    <mergeCell ref="B136:J136"/>
    <mergeCell ref="K136:L136"/>
    <mergeCell ref="B137:J137"/>
    <mergeCell ref="K137:L137"/>
    <mergeCell ref="B121:F121"/>
    <mergeCell ref="B122:C122"/>
    <mergeCell ref="D122:F122"/>
    <mergeCell ref="B123:C123"/>
    <mergeCell ref="D123:F123"/>
    <mergeCell ref="B124:F124"/>
    <mergeCell ref="B126:F126"/>
    <mergeCell ref="B127:F127"/>
    <mergeCell ref="B128:F128"/>
    <mergeCell ref="B111:E111"/>
    <mergeCell ref="B112:E112"/>
    <mergeCell ref="B113:C113"/>
    <mergeCell ref="D113:E113"/>
    <mergeCell ref="B114:E114"/>
    <mergeCell ref="B116:L116"/>
    <mergeCell ref="B118:F118"/>
    <mergeCell ref="B119:F119"/>
    <mergeCell ref="B120:F120"/>
    <mergeCell ref="B102:C102"/>
    <mergeCell ref="D102:E102"/>
    <mergeCell ref="B103:E103"/>
    <mergeCell ref="B105:E105"/>
    <mergeCell ref="B106:E106"/>
    <mergeCell ref="B107:E107"/>
    <mergeCell ref="B108:E108"/>
    <mergeCell ref="B109:E109"/>
    <mergeCell ref="B110:E110"/>
    <mergeCell ref="B92:E92"/>
    <mergeCell ref="B94:E94"/>
    <mergeCell ref="B95:E95"/>
    <mergeCell ref="B96:E96"/>
    <mergeCell ref="B97:E97"/>
    <mergeCell ref="B98:E98"/>
    <mergeCell ref="B99:E99"/>
    <mergeCell ref="B100:E100"/>
    <mergeCell ref="B101:E101"/>
    <mergeCell ref="B83:E83"/>
    <mergeCell ref="B84:E84"/>
    <mergeCell ref="B85:E85"/>
    <mergeCell ref="B86:E86"/>
    <mergeCell ref="B87:E87"/>
    <mergeCell ref="B88:E88"/>
    <mergeCell ref="B90:E90"/>
    <mergeCell ref="B91:C91"/>
    <mergeCell ref="D91:E91"/>
    <mergeCell ref="B75:E75"/>
    <mergeCell ref="B76:E76"/>
    <mergeCell ref="B77:E77"/>
    <mergeCell ref="B78:C78"/>
    <mergeCell ref="D78:E78"/>
    <mergeCell ref="B79:E79"/>
    <mergeCell ref="B80:E80"/>
    <mergeCell ref="B81:E81"/>
    <mergeCell ref="B82:E82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56:E56"/>
    <mergeCell ref="B58:E58"/>
    <mergeCell ref="B59:E59"/>
    <mergeCell ref="B60:E60"/>
    <mergeCell ref="B61:E61"/>
    <mergeCell ref="B62:E62"/>
    <mergeCell ref="B63:E63"/>
    <mergeCell ref="B64:E64"/>
    <mergeCell ref="B65:E65"/>
    <mergeCell ref="B48:E48"/>
    <mergeCell ref="B49:E49"/>
    <mergeCell ref="B50:E50"/>
    <mergeCell ref="B51:E51"/>
    <mergeCell ref="B52:E52"/>
    <mergeCell ref="B53:E53"/>
    <mergeCell ref="B54:E54"/>
    <mergeCell ref="B55:C55"/>
    <mergeCell ref="D55:E55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31:E31"/>
    <mergeCell ref="B32:E32"/>
    <mergeCell ref="B33:E33"/>
    <mergeCell ref="B34:C34"/>
    <mergeCell ref="D34:E34"/>
    <mergeCell ref="B35:E35"/>
    <mergeCell ref="B36:E36"/>
    <mergeCell ref="B37:E37"/>
    <mergeCell ref="B38:E38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10:E10"/>
    <mergeCell ref="B11:E11"/>
    <mergeCell ref="B12:E12"/>
    <mergeCell ref="B13:E13"/>
    <mergeCell ref="B16:E16"/>
    <mergeCell ref="B17:E17"/>
    <mergeCell ref="B18:E18"/>
    <mergeCell ref="B19:E19"/>
    <mergeCell ref="B20:E20"/>
    <mergeCell ref="A1:Z2"/>
    <mergeCell ref="B4:D4"/>
    <mergeCell ref="E4:Z4"/>
    <mergeCell ref="B6:D6"/>
    <mergeCell ref="E6:Z6"/>
    <mergeCell ref="G8:L8"/>
    <mergeCell ref="N8:S8"/>
    <mergeCell ref="U8:Z8"/>
    <mergeCell ref="B9:E9"/>
  </mergeCells>
  <hyperlinks>
    <hyperlink ref="E226" r:id="rId1" xr:uid="{20951BD1-6202-4166-B7A9-B3DB23A4ADF0}"/>
  </hyperlinks>
  <pageMargins left="0.70833333333333304" right="0.70833333333333304" top="0.74791666666666701" bottom="0.74791666666666701" header="0.511811023622047" footer="0.511811023622047"/>
  <pageSetup paperSize="9"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Рекомендациии по заполнению</vt:lpstr>
      <vt:lpstr>Анкета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</dc:creator>
  <dc:description/>
  <cp:lastModifiedBy>roman</cp:lastModifiedBy>
  <cp:revision>0</cp:revision>
  <cp:lastPrinted>2024-05-29T08:42:57Z</cp:lastPrinted>
  <dcterms:created xsi:type="dcterms:W3CDTF">2018-08-13T00:41:48Z</dcterms:created>
  <dcterms:modified xsi:type="dcterms:W3CDTF">2026-05-26T00:12:53Z</dcterms:modified>
  <dc:language>en-US</dc:language>
</cp:coreProperties>
</file>