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500" windowWidth="33600" windowHeight="19200" tabRatio="600" firstSheet="0" activeTab="1" autoFilterDateGrouping="1"/>
  </bookViews>
  <sheets>
    <sheet xmlns:r="http://schemas.openxmlformats.org/officeDocument/2006/relationships" name="Рекомендациии по заполнению" sheetId="1" state="visible" r:id="rId1"/>
    <sheet xmlns:r="http://schemas.openxmlformats.org/officeDocument/2006/relationships" name="Анкета" sheetId="2" state="visible" r:id="rId2"/>
  </sheets>
  <definedNames>
    <definedName name="Z_58DA6C7F_C6B8_49ED_B93B_E4C5313499FE_.wvu.Cols" localSheetId="1" hidden="1">Анкета!#REF!</definedName>
    <definedName name="Z_58DA6C7F_C6B8_49ED_B93B_E4C5313499FE_.wvu.Cols" localSheetId="0" hidden="1">'Рекомендациии по заполнению'!$B:$XFD</definedName>
    <definedName name="Z_58DA6C7F_C6B8_49ED_B93B_E4C5313499FE_.wvu.Rows" localSheetId="1" hidden="1">Анкета!$146:$1048576</definedName>
    <definedName name="Z_58DA6C7F_C6B8_49ED_B93B_E4C5313499FE_.wvu.Rows" localSheetId="0" hidden="1">'Рекомендациии по заполнению'!$65:$1048576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37">
    <font>
      <name val="Calibri"/>
      <charset val="204"/>
      <family val="2"/>
      <color theme="1"/>
      <sz val="10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Arial Narrow"/>
      <charset val="204"/>
      <family val="2"/>
      <color theme="0"/>
      <sz val="26"/>
    </font>
    <font>
      <name val="Arial"/>
      <family val="2"/>
      <sz val="8"/>
    </font>
    <font>
      <name val="Arial Narrow"/>
      <charset val="204"/>
      <family val="2"/>
      <b val="1"/>
      <color theme="0"/>
      <sz val="14"/>
    </font>
    <font>
      <name val="Arial Narrow"/>
      <charset val="204"/>
      <family val="2"/>
      <sz val="9"/>
    </font>
    <font>
      <name val="Arial Narrow"/>
      <charset val="204"/>
      <family val="2"/>
      <color theme="3"/>
      <sz val="9"/>
    </font>
    <font>
      <name val="Times New Roman"/>
      <family val="1"/>
      <sz val="10"/>
    </font>
    <font>
      <name val="Arial Narrow"/>
      <charset val="204"/>
      <family val="2"/>
      <b val="1"/>
      <color theme="0"/>
      <sz val="9"/>
    </font>
    <font>
      <name val="Arial Narrow"/>
      <charset val="204"/>
      <family val="2"/>
      <color theme="1"/>
      <sz val="9"/>
    </font>
    <font>
      <name val="Arial Narrow"/>
      <charset val="204"/>
      <family val="2"/>
      <color rgb="FFFF0000"/>
      <sz val="9"/>
    </font>
    <font>
      <name val="Arial Narrow"/>
      <charset val="204"/>
      <family val="2"/>
      <color theme="0" tint="-0.0499893185216834"/>
      <sz val="11"/>
    </font>
    <font>
      <name val="Calibri"/>
      <charset val="204"/>
      <family val="2"/>
      <sz val="10"/>
      <scheme val="minor"/>
    </font>
    <font>
      <name val="Calibri"/>
      <charset val="204"/>
      <family val="2"/>
      <sz val="8"/>
      <scheme val="minor"/>
    </font>
    <font>
      <name val="Calibri"/>
      <charset val="204"/>
      <family val="2"/>
      <b val="1"/>
      <color theme="1"/>
      <sz val="10"/>
      <scheme val="minor"/>
    </font>
    <font>
      <name val="Calibri"/>
      <charset val="204"/>
      <family val="2"/>
      <b val="1"/>
      <color theme="1"/>
      <sz val="9"/>
      <scheme val="minor"/>
    </font>
    <font>
      <name val="Arial Narrow"/>
      <charset val="204"/>
      <family val="2"/>
      <b val="1"/>
      <color theme="1"/>
      <sz val="9"/>
    </font>
    <font>
      <name val="Arial Narrow"/>
      <charset val="204"/>
      <family val="2"/>
      <color theme="1" tint="0.249977111117893"/>
      <sz val="9"/>
    </font>
    <font>
      <name val="Arial Narrow"/>
      <charset val="204"/>
      <family val="2"/>
      <color theme="1" tint="0.499984740745262"/>
      <sz val="9"/>
    </font>
    <font>
      <name val="Arial Narrow"/>
      <charset val="204"/>
      <family val="2"/>
      <b val="1"/>
      <sz val="9"/>
    </font>
    <font>
      <name val="Calibri"/>
      <charset val="204"/>
      <family val="2"/>
      <color rgb="FF000000"/>
      <sz val="10"/>
    </font>
    <font>
      <name val="Arial Narrow"/>
      <charset val="204"/>
      <family val="2"/>
      <i val="1"/>
      <color theme="1"/>
      <sz val="12"/>
    </font>
    <font>
      <name val="Arial Narrow"/>
      <charset val="204"/>
      <family val="2"/>
      <b val="1"/>
      <i val="1"/>
      <color theme="1"/>
      <sz val="12"/>
    </font>
    <font>
      <name val="Arial Narrow"/>
      <charset val="204"/>
      <family val="2"/>
      <color indexed="8"/>
      <sz val="12"/>
    </font>
    <font>
      <name val="Arial Narrow"/>
      <charset val="204"/>
      <family val="2"/>
      <b val="1"/>
      <color indexed="8"/>
      <sz val="12"/>
    </font>
    <font>
      <name val="Arial Narrow"/>
      <charset val="204"/>
      <family val="2"/>
      <color theme="1"/>
      <sz val="12"/>
    </font>
    <font>
      <name val="Calibri"/>
      <charset val="204"/>
      <family val="2"/>
      <color theme="1"/>
      <sz val="12"/>
      <scheme val="minor"/>
    </font>
    <font>
      <name val="Arial Narrow"/>
      <charset val="204"/>
      <family val="2"/>
      <b val="1"/>
      <color theme="1"/>
      <sz val="12"/>
    </font>
    <font>
      <name val="Calibri"/>
      <charset val="204"/>
      <family val="2"/>
      <color theme="3"/>
      <sz val="9"/>
      <scheme val="minor"/>
    </font>
    <font>
      <name val="Arial Narrow"/>
      <charset val="204"/>
      <family val="2"/>
      <color theme="1" tint="0.3499862666707358"/>
      <sz val="9"/>
    </font>
    <font>
      <name val="Calibri"/>
      <charset val="204"/>
      <family val="2"/>
      <color theme="1" tint="0.3499862666707358"/>
      <sz val="10"/>
      <scheme val="minor"/>
    </font>
    <font>
      <name val="Calibri"/>
      <charset val="204"/>
      <family val="2"/>
      <color theme="1"/>
      <sz val="7"/>
      <scheme val="minor"/>
    </font>
    <font>
      <name val="Arial Narrow"/>
      <charset val="204"/>
      <family val="2"/>
      <b val="1"/>
      <color theme="0"/>
      <sz val="8"/>
    </font>
  </fonts>
  <fills count="12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5" fillId="0" borderId="0"/>
    <xf numFmtId="9" fontId="5" fillId="0" borderId="0"/>
    <xf numFmtId="0" fontId="7" fillId="0" borderId="0"/>
    <xf numFmtId="0" fontId="11" fillId="7" borderId="13" applyProtection="1">
      <protection locked="0" hidden="0"/>
    </xf>
    <xf numFmtId="0" fontId="4" fillId="0" borderId="0"/>
    <xf numFmtId="0" fontId="5" fillId="0" borderId="0"/>
    <xf numFmtId="9" fontId="5" fillId="0" borderId="0"/>
    <xf numFmtId="0" fontId="24" fillId="0" borderId="0"/>
  </cellStyleXfs>
  <cellXfs count="162">
    <xf numFmtId="0" fontId="0" fillId="0" borderId="0" pivotButton="0" quotePrefix="0" xfId="0"/>
    <xf numFmtId="0" fontId="6" fillId="2" borderId="1" pivotButton="0" quotePrefix="0" xfId="0"/>
    <xf numFmtId="3" fontId="10" fillId="6" borderId="12" applyAlignment="1" applyProtection="1" pivotButton="0" quotePrefix="0" xfId="0">
      <alignment horizontal="right" vertical="center"/>
      <protection locked="0" hidden="1"/>
    </xf>
    <xf numFmtId="164" fontId="10" fillId="6" borderId="12" applyAlignment="1" applyProtection="1" pivotButton="0" quotePrefix="0" xfId="0">
      <alignment horizontal="right" vertical="center"/>
      <protection locked="0" hidden="1"/>
    </xf>
    <xf numFmtId="0" fontId="15" fillId="0" borderId="0" applyProtection="1" pivotButton="0" quotePrefix="0" xfId="0">
      <protection locked="1" hidden="1"/>
    </xf>
    <xf numFmtId="0" fontId="9" fillId="8" borderId="0" applyAlignment="1" applyProtection="1" pivotButton="0" quotePrefix="0" xfId="2">
      <alignment vertical="center"/>
      <protection locked="1" hidden="1"/>
    </xf>
    <xf numFmtId="0" fontId="9" fillId="8" borderId="0" applyAlignment="1" applyProtection="1" pivotButton="0" quotePrefix="0" xfId="2">
      <alignment horizontal="center" vertical="center"/>
      <protection locked="1" hidden="1"/>
    </xf>
    <xf numFmtId="165" fontId="21" fillId="10" borderId="12" applyAlignment="1" applyProtection="1" pivotButton="0" quotePrefix="0" xfId="2">
      <alignment horizontal="right" vertical="center"/>
      <protection locked="1" hidden="1"/>
    </xf>
    <xf numFmtId="166" fontId="10" fillId="6" borderId="12" applyAlignment="1" applyProtection="1" pivotButton="0" quotePrefix="0" xfId="1">
      <alignment horizontal="right" vertical="center"/>
      <protection locked="0" hidden="1"/>
    </xf>
    <xf numFmtId="166" fontId="10" fillId="6" borderId="12" applyAlignment="1" applyProtection="1" pivotButton="0" quotePrefix="0" xfId="1">
      <alignment horizontal="center" vertical="center"/>
      <protection locked="0" hidden="1"/>
    </xf>
    <xf numFmtId="0" fontId="22" fillId="8" borderId="0" applyAlignment="1" applyProtection="1" pivotButton="0" quotePrefix="0" xfId="2">
      <alignment vertical="center"/>
      <protection locked="1" hidden="1"/>
    </xf>
    <xf numFmtId="166" fontId="9" fillId="10" borderId="12" applyAlignment="1" applyProtection="1" pivotButton="0" quotePrefix="0" xfId="2">
      <alignment vertical="center"/>
      <protection locked="1" hidden="1"/>
    </xf>
    <xf numFmtId="0" fontId="9" fillId="8" borderId="18" applyAlignment="1" applyProtection="1" pivotButton="0" quotePrefix="0" xfId="2">
      <alignment vertical="center"/>
      <protection locked="1" hidden="1"/>
    </xf>
    <xf numFmtId="0" fontId="13" fillId="9" borderId="12" applyAlignment="1" applyProtection="1" pivotButton="0" quotePrefix="0" xfId="2">
      <alignment horizontal="center" vertical="center" wrapText="1" shrinkToFit="1"/>
      <protection locked="1" hidden="1"/>
    </xf>
    <xf numFmtId="3" fontId="21" fillId="10" borderId="12" applyAlignment="1" applyProtection="1" pivotButton="0" quotePrefix="0" xfId="2">
      <alignment horizontal="right" vertical="center"/>
      <protection locked="1" hidden="1"/>
    </xf>
    <xf numFmtId="0" fontId="9" fillId="4" borderId="9" applyAlignment="1" applyProtection="1" pivotButton="0" quotePrefix="0" xfId="2">
      <alignment horizontal="left" vertical="center"/>
      <protection locked="1" hidden="1"/>
    </xf>
    <xf numFmtId="0" fontId="9" fillId="4" borderId="10" applyAlignment="1" applyProtection="1" pivotButton="0" quotePrefix="0" xfId="2">
      <alignment horizontal="left" vertical="center"/>
      <protection locked="1" hidden="1"/>
    </xf>
    <xf numFmtId="0" fontId="9" fillId="4" borderId="11" applyAlignment="1" applyProtection="1" pivotButton="0" quotePrefix="0" xfId="2">
      <alignment horizontal="left" vertical="center"/>
      <protection locked="1" hidden="1"/>
    </xf>
    <xf numFmtId="0" fontId="21" fillId="10" borderId="11" applyAlignment="1" applyProtection="1" pivotButton="0" quotePrefix="0" xfId="2">
      <alignment horizontal="right" vertical="center"/>
      <protection locked="1" hidden="1"/>
    </xf>
    <xf numFmtId="0" fontId="23" fillId="8" borderId="0" applyAlignment="1" applyProtection="1" pivotButton="0" quotePrefix="0" xfId="2">
      <alignment horizontal="center" vertical="center" wrapText="1"/>
      <protection locked="1" hidden="1"/>
    </xf>
    <xf numFmtId="0" fontId="22" fillId="8" borderId="0" applyAlignment="1" applyProtection="1" pivotButton="0" quotePrefix="0" xfId="2">
      <alignment horizontal="left" vertical="center"/>
      <protection locked="1" hidden="1"/>
    </xf>
    <xf numFmtId="0" fontId="20" fillId="9" borderId="11" applyAlignment="1" applyProtection="1" pivotButton="0" quotePrefix="0" xfId="2">
      <alignment horizontal="left" vertical="center" wrapText="1" shrinkToFit="1"/>
      <protection locked="1" hidden="1"/>
    </xf>
    <xf numFmtId="0" fontId="21" fillId="10" borderId="12" applyAlignment="1" applyProtection="1" pivotButton="0" quotePrefix="0" xfId="2">
      <alignment horizontal="right" vertical="center"/>
      <protection locked="1" hidden="1"/>
    </xf>
    <xf numFmtId="0" fontId="20" fillId="9" borderId="17" applyAlignment="1" applyProtection="1" pivotButton="0" quotePrefix="0" xfId="2">
      <alignment horizontal="center" vertical="center" wrapText="1"/>
      <protection locked="1" hidden="1"/>
    </xf>
    <xf numFmtId="0" fontId="23" fillId="8" borderId="19" applyAlignment="1" applyProtection="1" pivotButton="0" quotePrefix="0" xfId="2">
      <alignment vertical="center" wrapText="1"/>
      <protection locked="1" hidden="1"/>
    </xf>
    <xf numFmtId="0" fontId="23" fillId="8" borderId="0" applyAlignment="1" applyProtection="1" pivotButton="0" quotePrefix="0" xfId="2">
      <alignment vertical="center" wrapText="1"/>
      <protection locked="1" hidden="1"/>
    </xf>
    <xf numFmtId="166" fontId="10" fillId="10" borderId="12" applyAlignment="1" applyProtection="1" pivotButton="0" quotePrefix="0" xfId="1">
      <alignment horizontal="right" vertical="center"/>
      <protection locked="0" hidden="1"/>
    </xf>
    <xf numFmtId="0" fontId="9" fillId="10" borderId="12" applyAlignment="1" applyProtection="1" pivotButton="0" quotePrefix="0" xfId="2">
      <alignment horizontal="left" vertical="center"/>
      <protection locked="1" hidden="1"/>
    </xf>
    <xf numFmtId="0" fontId="9" fillId="10" borderId="11" applyAlignment="1" applyProtection="1" pivotButton="0" quotePrefix="0" xfId="2">
      <alignment horizontal="left" vertical="center"/>
      <protection locked="1" hidden="1"/>
    </xf>
    <xf numFmtId="164" fontId="10" fillId="10" borderId="12" applyAlignment="1" applyProtection="1" pivotButton="0" quotePrefix="0" xfId="0">
      <alignment horizontal="right" vertical="center"/>
      <protection locked="1" hidden="1"/>
    </xf>
    <xf numFmtId="0" fontId="16" fillId="0" borderId="0" pivotButton="0" quotePrefix="0" xfId="0"/>
    <xf numFmtId="166" fontId="10" fillId="11" borderId="12" applyAlignment="1" applyProtection="1" pivotButton="0" quotePrefix="0" xfId="1">
      <alignment horizontal="right" vertical="center"/>
      <protection locked="1" hidden="1"/>
    </xf>
    <xf numFmtId="3" fontId="10" fillId="10" borderId="12" applyAlignment="1" applyProtection="1" pivotButton="0" quotePrefix="0" xfId="0">
      <alignment horizontal="right" vertical="center"/>
      <protection locked="1" hidden="1"/>
    </xf>
    <xf numFmtId="0" fontId="19" fillId="8" borderId="0" pivotButton="0" quotePrefix="0" xfId="0"/>
    <xf numFmtId="0" fontId="9" fillId="6" borderId="11" applyAlignment="1" applyProtection="1" pivotButton="0" quotePrefix="0" xfId="2">
      <alignment horizontal="left" vertical="center"/>
      <protection locked="0" hidden="1"/>
    </xf>
    <xf numFmtId="0" fontId="9" fillId="6" borderId="12" applyAlignment="1" applyProtection="1" pivotButton="0" quotePrefix="0" xfId="2">
      <alignment horizontal="center" vertical="center"/>
      <protection locked="0" hidden="1"/>
    </xf>
    <xf numFmtId="0" fontId="9" fillId="8" borderId="0" applyAlignment="1" applyProtection="1" pivotButton="0" quotePrefix="0" xfId="2">
      <alignment vertical="center"/>
      <protection locked="0" hidden="1"/>
    </xf>
    <xf numFmtId="0" fontId="9" fillId="6" borderId="11" applyAlignment="1" applyProtection="1" pivotButton="0" quotePrefix="0" xfId="2">
      <alignment horizontal="center" vertical="center"/>
      <protection locked="0" hidden="1"/>
    </xf>
    <xf numFmtId="0" fontId="25" fillId="3" borderId="2" applyAlignment="1" pivotButton="0" quotePrefix="0" xfId="0">
      <alignment vertical="top" wrapText="1"/>
    </xf>
    <xf numFmtId="0" fontId="25" fillId="3" borderId="3" applyAlignment="1" pivotButton="0" quotePrefix="0" xfId="0">
      <alignment vertical="top" wrapText="1"/>
    </xf>
    <xf numFmtId="0" fontId="27" fillId="4" borderId="4" applyAlignment="1" pivotButton="0" quotePrefix="0" xfId="0">
      <alignment horizontal="left" vertical="center" wrapText="1"/>
    </xf>
    <xf numFmtId="0" fontId="27" fillId="8" borderId="4" applyAlignment="1" pivotButton="0" quotePrefix="0" xfId="0">
      <alignment horizontal="left" vertical="center" wrapText="1"/>
    </xf>
    <xf numFmtId="0" fontId="29" fillId="3" borderId="3" applyAlignment="1" pivotButton="0" quotePrefix="0" xfId="0">
      <alignment horizontal="left" vertical="center" wrapText="1"/>
    </xf>
    <xf numFmtId="0" fontId="30" fillId="8" borderId="0" pivotButton="0" quotePrefix="0" xfId="0"/>
    <xf numFmtId="0" fontId="13" fillId="9" borderId="12" applyAlignment="1" applyProtection="1" pivotButton="0" quotePrefix="0" xfId="2">
      <alignment horizontal="center" vertical="center" wrapText="1"/>
      <protection locked="1" hidden="1"/>
    </xf>
    <xf numFmtId="166" fontId="21" fillId="10" borderId="12" applyAlignment="1" applyProtection="1" pivotButton="0" quotePrefix="0" xfId="1">
      <alignment horizontal="right" vertical="center" shrinkToFit="1"/>
      <protection locked="1" hidden="1"/>
    </xf>
    <xf numFmtId="9" fontId="13" fillId="9" borderId="17" applyAlignment="1" applyProtection="1" pivotButton="0" quotePrefix="0" xfId="1">
      <alignment horizontal="center" vertical="center" wrapText="1"/>
      <protection locked="1" hidden="1"/>
    </xf>
    <xf numFmtId="0" fontId="13" fillId="9" borderId="17" applyAlignment="1" applyProtection="1" pivotButton="0" quotePrefix="0" xfId="2">
      <alignment horizontal="center" vertical="center" wrapText="1"/>
      <protection locked="1" hidden="1"/>
    </xf>
    <xf numFmtId="166" fontId="10" fillId="0" borderId="12" applyProtection="1" pivotButton="0" quotePrefix="0" xfId="0">
      <protection locked="0" hidden="1"/>
    </xf>
    <xf numFmtId="0" fontId="32" fillId="0" borderId="12" pivotButton="0" quotePrefix="0" xfId="0"/>
    <xf numFmtId="0" fontId="22" fillId="8" borderId="0" pivotButton="0" quotePrefix="0" xfId="0"/>
    <xf numFmtId="0" fontId="20" fillId="9" borderId="16" applyAlignment="1" applyProtection="1" pivotButton="0" quotePrefix="0" xfId="2">
      <alignment horizontal="center" vertical="center" wrapText="1"/>
      <protection locked="1" hidden="1"/>
    </xf>
    <xf numFmtId="0" fontId="22" fillId="8" borderId="0" applyAlignment="1" applyProtection="1" pivotButton="0" quotePrefix="0" xfId="2">
      <alignment horizontal="center" vertical="center"/>
      <protection locked="1" hidden="1"/>
    </xf>
    <xf numFmtId="165" fontId="21" fillId="11" borderId="12" applyAlignment="1" applyProtection="1" pivotButton="0" quotePrefix="0" xfId="2">
      <alignment horizontal="right" vertical="center"/>
      <protection locked="1" hidden="1"/>
    </xf>
    <xf numFmtId="3" fontId="10" fillId="6" borderId="12" applyAlignment="1" applyProtection="1" pivotButton="0" quotePrefix="0" xfId="0">
      <alignment horizontal="right" vertical="center"/>
      <protection locked="1" hidden="1"/>
    </xf>
    <xf numFmtId="0" fontId="16" fillId="8" borderId="0" pivotButton="0" quotePrefix="0" xfId="0"/>
    <xf numFmtId="0" fontId="0" fillId="8" borderId="0" pivotButton="0" quotePrefix="0" xfId="0"/>
    <xf numFmtId="166" fontId="13" fillId="11" borderId="12" applyAlignment="1" applyProtection="1" pivotButton="0" quotePrefix="0" xfId="1">
      <alignment horizontal="right" vertical="center"/>
      <protection locked="1" hidden="1"/>
    </xf>
    <xf numFmtId="0" fontId="33" fillId="10" borderId="9" applyAlignment="1" applyProtection="1" pivotButton="0" quotePrefix="0" xfId="2">
      <alignment vertical="center"/>
      <protection locked="1" hidden="1"/>
    </xf>
    <xf numFmtId="0" fontId="33" fillId="10" borderId="10" applyAlignment="1" applyProtection="1" pivotButton="0" quotePrefix="0" xfId="2">
      <alignment vertical="center"/>
      <protection locked="1" hidden="1"/>
    </xf>
    <xf numFmtId="0" fontId="29" fillId="3" borderId="0" applyAlignment="1" pivotButton="0" quotePrefix="0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indent="5"/>
    </xf>
    <xf numFmtId="3" fontId="10" fillId="8" borderId="12" applyAlignment="1" applyProtection="1" pivotButton="0" quotePrefix="0" xfId="0">
      <alignment horizontal="right" vertical="center"/>
      <protection locked="1" hidden="1"/>
    </xf>
    <xf numFmtId="3" fontId="10" fillId="8" borderId="12" applyAlignment="1" applyProtection="1" pivotButton="0" quotePrefix="0" xfId="0">
      <alignment horizontal="right" vertical="center"/>
      <protection locked="0" hidden="1"/>
    </xf>
    <xf numFmtId="164" fontId="10" fillId="8" borderId="12" applyAlignment="1" applyProtection="1" pivotButton="0" quotePrefix="0" xfId="0">
      <alignment horizontal="right" vertical="center"/>
      <protection locked="0" hidden="1"/>
    </xf>
    <xf numFmtId="0" fontId="3" fillId="0" borderId="0" applyAlignment="1" pivotButton="0" quotePrefix="0" xfId="0">
      <alignment horizontal="left" vertical="center" indent="5"/>
    </xf>
    <xf numFmtId="0" fontId="2" fillId="0" borderId="0" applyAlignment="1" pivotButton="0" quotePrefix="0" xfId="0">
      <alignment horizontal="left" vertical="center" indent="5"/>
    </xf>
    <xf numFmtId="0" fontId="29" fillId="4" borderId="4" applyAlignment="1" pivotButton="0" quotePrefix="0" xfId="0">
      <alignment horizontal="left" vertical="center" wrapText="1"/>
    </xf>
    <xf numFmtId="0" fontId="13" fillId="9" borderId="17" applyAlignment="1" applyProtection="1" pivotButton="0" quotePrefix="0" xfId="2">
      <alignment horizontal="center" vertical="center" wrapText="1" shrinkToFit="1"/>
      <protection locked="1" hidden="1"/>
    </xf>
    <xf numFmtId="0" fontId="8" fillId="5" borderId="5" applyAlignment="1" applyProtection="1" pivotButton="0" quotePrefix="0" xfId="2">
      <alignment horizontal="center" vertical="center" wrapText="1"/>
      <protection locked="1" hidden="1"/>
    </xf>
    <xf numFmtId="0" fontId="8" fillId="5" borderId="6" applyAlignment="1" applyProtection="1" pivotButton="0" quotePrefix="0" xfId="2">
      <alignment horizontal="center" vertical="center" wrapText="1"/>
      <protection locked="1" hidden="1"/>
    </xf>
    <xf numFmtId="0" fontId="8" fillId="5" borderId="7" applyAlignment="1" applyProtection="1" pivotButton="0" quotePrefix="0" xfId="2">
      <alignment horizontal="center" vertical="center" wrapText="1"/>
      <protection locked="1" hidden="1"/>
    </xf>
    <xf numFmtId="0" fontId="8" fillId="5" borderId="8" applyAlignment="1" applyProtection="1" pivotButton="0" quotePrefix="0" xfId="2">
      <alignment horizontal="center" vertical="center" wrapText="1"/>
      <protection locked="1" hidden="1"/>
    </xf>
    <xf numFmtId="0" fontId="9" fillId="4" borderId="9" applyAlignment="1" applyProtection="1" pivotButton="0" quotePrefix="0" xfId="2">
      <alignment horizontal="left" vertical="center"/>
      <protection locked="1" hidden="1"/>
    </xf>
    <xf numFmtId="0" fontId="9" fillId="4" borderId="10" applyAlignment="1" applyProtection="1" pivotButton="0" quotePrefix="0" xfId="2">
      <alignment horizontal="left" vertical="center"/>
      <protection locked="1" hidden="1"/>
    </xf>
    <xf numFmtId="0" fontId="9" fillId="4" borderId="11" applyAlignment="1" applyProtection="1" pivotButton="0" quotePrefix="0" xfId="2">
      <alignment horizontal="left" vertical="center"/>
      <protection locked="1" hidden="1"/>
    </xf>
    <xf numFmtId="0" fontId="20" fillId="9" borderId="9" applyAlignment="1" applyProtection="1" pivotButton="0" quotePrefix="0" xfId="2">
      <alignment horizontal="center" vertical="center" wrapText="1"/>
      <protection locked="1" hidden="1"/>
    </xf>
    <xf numFmtId="0" fontId="20" fillId="9" borderId="10" applyAlignment="1" applyProtection="1" pivotButton="0" quotePrefix="0" xfId="2">
      <alignment horizontal="center" vertical="center" wrapText="1"/>
      <protection locked="1" hidden="1"/>
    </xf>
    <xf numFmtId="0" fontId="20" fillId="9" borderId="11" applyAlignment="1" applyProtection="1" pivotButton="0" quotePrefix="0" xfId="2">
      <alignment horizontal="center" vertical="center" wrapText="1"/>
      <protection locked="1" hidden="1"/>
    </xf>
    <xf numFmtId="9" fontId="0" fillId="0" borderId="9" applyAlignment="1" pivotButton="0" quotePrefix="0" xfId="1">
      <alignment horizontal="center"/>
    </xf>
    <xf numFmtId="9" fontId="0" fillId="0" borderId="11" applyAlignment="1" pivotButton="0" quotePrefix="0" xfId="1">
      <alignment horizontal="center"/>
    </xf>
    <xf numFmtId="0" fontId="9" fillId="6" borderId="9" applyAlignment="1" applyProtection="1" pivotButton="0" quotePrefix="0" xfId="2">
      <alignment horizontal="center" vertical="center"/>
      <protection locked="0" hidden="1"/>
    </xf>
    <xf numFmtId="0" fontId="9" fillId="6" borderId="11" applyAlignment="1" applyProtection="1" pivotButton="0" quotePrefix="0" xfId="2">
      <alignment horizontal="center" vertical="center"/>
      <protection locked="0" hidden="1"/>
    </xf>
    <xf numFmtId="0" fontId="21" fillId="10" borderId="9" applyAlignment="1" applyProtection="1" pivotButton="0" quotePrefix="0" xfId="2">
      <alignment horizontal="right" vertical="center"/>
      <protection locked="1" hidden="1"/>
    </xf>
    <xf numFmtId="0" fontId="21" fillId="10" borderId="10" applyAlignment="1" applyProtection="1" pivotButton="0" quotePrefix="0" xfId="2">
      <alignment horizontal="right" vertical="center"/>
      <protection locked="1" hidden="1"/>
    </xf>
    <xf numFmtId="0" fontId="21" fillId="10" borderId="11" applyAlignment="1" applyProtection="1" pivotButton="0" quotePrefix="0" xfId="2">
      <alignment horizontal="right" vertical="center"/>
      <protection locked="1" hidden="1"/>
    </xf>
    <xf numFmtId="0" fontId="13" fillId="6" borderId="12" applyAlignment="1" applyProtection="1" pivotButton="0" quotePrefix="0" xfId="2">
      <alignment horizontal="center" vertical="top" wrapText="1"/>
      <protection locked="1" hidden="1"/>
    </xf>
    <xf numFmtId="0" fontId="20" fillId="9" borderId="14" applyAlignment="1" applyProtection="1" pivotButton="0" quotePrefix="0" xfId="2">
      <alignment horizontal="center" vertical="center" wrapText="1" shrinkToFit="1"/>
      <protection locked="1" hidden="1"/>
    </xf>
    <xf numFmtId="0" fontId="20" fillId="9" borderId="15" applyAlignment="1" applyProtection="1" pivotButton="0" quotePrefix="0" xfId="2">
      <alignment horizontal="center" vertical="center" wrapText="1" shrinkToFit="1"/>
      <protection locked="1" hidden="1"/>
    </xf>
    <xf numFmtId="0" fontId="20" fillId="9" borderId="16" applyAlignment="1" applyProtection="1" pivotButton="0" quotePrefix="0" xfId="2">
      <alignment horizontal="center" vertical="center" wrapText="1" shrinkToFit="1"/>
      <protection locked="1" hidden="1"/>
    </xf>
    <xf numFmtId="166" fontId="10" fillId="6" borderId="9" applyAlignment="1" applyProtection="1" pivotButton="0" quotePrefix="0" xfId="1">
      <alignment horizontal="center" vertical="center"/>
      <protection locked="0" hidden="1"/>
    </xf>
    <xf numFmtId="166" fontId="10" fillId="6" borderId="10" applyAlignment="1" applyProtection="1" pivotButton="0" quotePrefix="0" xfId="1">
      <alignment horizontal="center" vertical="center"/>
      <protection locked="0" hidden="1"/>
    </xf>
    <xf numFmtId="166" fontId="10" fillId="6" borderId="11" applyAlignment="1" applyProtection="1" pivotButton="0" quotePrefix="0" xfId="1">
      <alignment horizontal="center" vertical="center"/>
      <protection locked="0" hidden="1"/>
    </xf>
    <xf numFmtId="0" fontId="22" fillId="8" borderId="10" applyAlignment="1" applyProtection="1" pivotButton="0" quotePrefix="0" xfId="2">
      <alignment horizontal="left" vertical="center"/>
      <protection locked="1" hidden="1"/>
    </xf>
    <xf numFmtId="0" fontId="23" fillId="8" borderId="19" applyAlignment="1" applyProtection="1" pivotButton="0" quotePrefix="0" xfId="2">
      <alignment horizontal="center" vertical="center" wrapText="1"/>
      <protection locked="1" hidden="1"/>
    </xf>
    <xf numFmtId="0" fontId="12" fillId="5" borderId="18" applyAlignment="1" applyProtection="1" pivotButton="0" quotePrefix="0" xfId="2">
      <alignment horizontal="center" vertical="center" wrapText="1"/>
      <protection locked="1" hidden="1"/>
    </xf>
    <xf numFmtId="0" fontId="12" fillId="5" borderId="0" applyAlignment="1" applyProtection="1" pivotButton="0" quotePrefix="0" xfId="2">
      <alignment horizontal="center" vertical="center" wrapText="1"/>
      <protection locked="1" hidden="1"/>
    </xf>
    <xf numFmtId="0" fontId="9" fillId="4" borderId="14" applyAlignment="1" applyProtection="1" pivotButton="0" quotePrefix="0" xfId="2">
      <alignment horizontal="center" vertical="center" wrapText="1"/>
      <protection locked="1" hidden="1"/>
    </xf>
    <xf numFmtId="0" fontId="9" fillId="4" borderId="16" applyAlignment="1" applyProtection="1" pivotButton="0" quotePrefix="0" xfId="2">
      <alignment horizontal="center" vertical="center" wrapText="1"/>
      <protection locked="1" hidden="1"/>
    </xf>
    <xf numFmtId="0" fontId="9" fillId="4" borderId="18" applyAlignment="1" applyProtection="1" pivotButton="0" quotePrefix="0" xfId="2">
      <alignment horizontal="center" vertical="center" wrapText="1"/>
      <protection locked="1" hidden="1"/>
    </xf>
    <xf numFmtId="0" fontId="9" fillId="4" borderId="22" applyAlignment="1" applyProtection="1" pivotButton="0" quotePrefix="0" xfId="2">
      <alignment horizontal="center" vertical="center" wrapText="1"/>
      <protection locked="1" hidden="1"/>
    </xf>
    <xf numFmtId="0" fontId="9" fillId="4" borderId="20" applyAlignment="1" applyProtection="1" pivotButton="0" quotePrefix="0" xfId="2">
      <alignment horizontal="center" vertical="center" wrapText="1"/>
      <protection locked="1" hidden="1"/>
    </xf>
    <xf numFmtId="0" fontId="9" fillId="4" borderId="21" applyAlignment="1" applyProtection="1" pivotButton="0" quotePrefix="0" xfId="2">
      <alignment horizontal="center" vertical="center" wrapText="1"/>
      <protection locked="1" hidden="1"/>
    </xf>
    <xf numFmtId="0" fontId="13" fillId="8" borderId="0" applyAlignment="1" pivotButton="0" quotePrefix="0" xfId="0">
      <alignment horizontal="left" vertical="center"/>
    </xf>
    <xf numFmtId="0" fontId="13" fillId="8" borderId="0" applyAlignment="1" pivotButton="0" quotePrefix="1" xfId="0">
      <alignment horizontal="left" vertical="center"/>
    </xf>
    <xf numFmtId="0" fontId="18" fillId="8" borderId="0" applyAlignment="1" pivotButton="0" quotePrefix="0" xfId="0">
      <alignment horizontal="left" vertical="top"/>
    </xf>
    <xf numFmtId="0" fontId="23" fillId="4" borderId="9" applyAlignment="1" applyProtection="1" pivotButton="0" quotePrefix="0" xfId="2">
      <alignment horizontal="left" vertical="center"/>
      <protection locked="1" hidden="1"/>
    </xf>
    <xf numFmtId="0" fontId="23" fillId="4" borderId="10" applyAlignment="1" applyProtection="1" pivotButton="0" quotePrefix="0" xfId="2">
      <alignment horizontal="left" vertical="center"/>
      <protection locked="1" hidden="1"/>
    </xf>
    <xf numFmtId="0" fontId="23" fillId="4" borderId="11" applyAlignment="1" applyProtection="1" pivotButton="0" quotePrefix="0" xfId="2">
      <alignment horizontal="left" vertical="center"/>
      <protection locked="1" hidden="1"/>
    </xf>
    <xf numFmtId="0" fontId="20" fillId="9" borderId="9" applyAlignment="1" applyProtection="1" pivotButton="0" quotePrefix="0" xfId="2">
      <alignment horizontal="left" vertical="center" wrapText="1" shrinkToFit="1"/>
      <protection locked="1" hidden="1"/>
    </xf>
    <xf numFmtId="0" fontId="20" fillId="9" borderId="10" applyAlignment="1" applyProtection="1" pivotButton="0" quotePrefix="0" xfId="2">
      <alignment horizontal="left" vertical="center" wrapText="1" shrinkToFit="1"/>
      <protection locked="1" hidden="1"/>
    </xf>
    <xf numFmtId="0" fontId="20" fillId="9" borderId="11" applyAlignment="1" applyProtection="1" pivotButton="0" quotePrefix="0" xfId="2">
      <alignment horizontal="left" vertical="center" wrapText="1" shrinkToFit="1"/>
      <protection locked="1" hidden="1"/>
    </xf>
    <xf numFmtId="0" fontId="22" fillId="8" borderId="13" applyAlignment="1" applyProtection="1" pivotButton="0" quotePrefix="0" xfId="2">
      <alignment horizontal="left" vertical="center"/>
      <protection locked="1" hidden="1"/>
    </xf>
    <xf numFmtId="0" fontId="9" fillId="8" borderId="0" applyAlignment="1" applyProtection="1" pivotButton="0" quotePrefix="0" xfId="2">
      <alignment horizontal="right" vertical="center"/>
      <protection locked="1" hidden="1"/>
    </xf>
    <xf numFmtId="0" fontId="20" fillId="6" borderId="12" applyAlignment="1" applyProtection="1" pivotButton="0" quotePrefix="0" xfId="0">
      <alignment horizontal="center" vertical="center"/>
      <protection locked="0" hidden="1"/>
    </xf>
    <xf numFmtId="0" fontId="9" fillId="4" borderId="9" applyAlignment="1" applyProtection="1" pivotButton="0" quotePrefix="0" xfId="2">
      <alignment horizontal="center" vertical="center"/>
      <protection locked="1" hidden="1"/>
    </xf>
    <xf numFmtId="0" fontId="9" fillId="4" borderId="11" applyAlignment="1" applyProtection="1" pivotButton="0" quotePrefix="0" xfId="2">
      <alignment horizontal="center" vertical="center"/>
      <protection locked="1" hidden="1"/>
    </xf>
    <xf numFmtId="0" fontId="21" fillId="10" borderId="12" applyAlignment="1" applyProtection="1" pivotButton="0" quotePrefix="0" xfId="2">
      <alignment horizontal="right" vertical="center"/>
      <protection locked="1" hidden="1"/>
    </xf>
    <xf numFmtId="0" fontId="9" fillId="6" borderId="12" applyAlignment="1" applyProtection="1" pivotButton="0" quotePrefix="0" xfId="2">
      <alignment horizontal="center" vertical="center"/>
      <protection locked="0" hidden="1"/>
    </xf>
    <xf numFmtId="0" fontId="13" fillId="8" borderId="0" applyAlignment="1" applyProtection="1" pivotButton="0" quotePrefix="0" xfId="0">
      <alignment horizontal="right" vertical="center"/>
      <protection locked="1" hidden="1"/>
    </xf>
    <xf numFmtId="0" fontId="20" fillId="9" borderId="12" applyAlignment="1" applyProtection="1" pivotButton="0" quotePrefix="0" xfId="2">
      <alignment horizontal="center" vertical="center" wrapText="1"/>
      <protection locked="1" hidden="1"/>
    </xf>
    <xf numFmtId="0" fontId="9" fillId="6" borderId="9" applyAlignment="1" applyProtection="1" pivotButton="0" quotePrefix="0" xfId="2">
      <alignment horizontal="center" vertical="center"/>
      <protection locked="1" hidden="1"/>
    </xf>
    <xf numFmtId="0" fontId="9" fillId="6" borderId="10" applyAlignment="1" applyProtection="1" pivotButton="0" quotePrefix="0" xfId="2">
      <alignment horizontal="center" vertical="center"/>
      <protection locked="1" hidden="1"/>
    </xf>
    <xf numFmtId="0" fontId="9" fillId="6" borderId="11" applyAlignment="1" applyProtection="1" pivotButton="0" quotePrefix="0" xfId="2">
      <alignment horizontal="center" vertical="center"/>
      <protection locked="1" hidden="1"/>
    </xf>
    <xf numFmtId="0" fontId="13" fillId="9" borderId="9" applyAlignment="1" applyProtection="1" pivotButton="0" quotePrefix="0" xfId="2">
      <alignment horizontal="center" vertical="center" wrapText="1"/>
      <protection locked="1" hidden="1"/>
    </xf>
    <xf numFmtId="0" fontId="13" fillId="9" borderId="11" applyAlignment="1" applyProtection="1" pivotButton="0" quotePrefix="0" xfId="2">
      <alignment horizontal="center" vertical="center" wrapText="1"/>
      <protection locked="1" hidden="1"/>
    </xf>
    <xf numFmtId="9" fontId="34" fillId="10" borderId="9" applyAlignment="1" pivotButton="0" quotePrefix="0" xfId="1">
      <alignment horizontal="center"/>
    </xf>
    <xf numFmtId="9" fontId="34" fillId="10" borderId="11" applyAlignment="1" pivotButton="0" quotePrefix="0" xfId="1">
      <alignment horizontal="center"/>
    </xf>
    <xf numFmtId="0" fontId="13" fillId="6" borderId="12" applyAlignment="1" applyProtection="1" pivotButton="0" quotePrefix="0" xfId="0">
      <alignment horizontal="center" vertical="center" wrapText="1"/>
      <protection locked="0" hidden="0"/>
    </xf>
    <xf numFmtId="0" fontId="9" fillId="4" borderId="10" applyAlignment="1" applyProtection="1" pivotButton="0" quotePrefix="0" xfId="2">
      <alignment horizontal="center" vertical="center"/>
      <protection locked="1" hidden="1"/>
    </xf>
    <xf numFmtId="0" fontId="8" fillId="5" borderId="23" applyAlignment="1" applyProtection="1" pivotButton="0" quotePrefix="0" xfId="2">
      <alignment horizontal="center" vertical="center" wrapText="1"/>
      <protection locked="1" hidden="1"/>
    </xf>
    <xf numFmtId="0" fontId="0" fillId="0" borderId="6" applyProtection="1" pivotButton="0" quotePrefix="0" xfId="0">
      <protection locked="1" hidden="1"/>
    </xf>
    <xf numFmtId="0" fontId="8" fillId="5" borderId="25" applyAlignment="1" applyProtection="1" pivotButton="0" quotePrefix="0" xfId="2">
      <alignment horizontal="center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0" applyProtection="1" pivotButton="0" quotePrefix="0" xfId="0">
      <protection locked="0" hidden="1"/>
    </xf>
    <xf numFmtId="0" fontId="0" fillId="0" borderId="11" applyProtection="1" pivotButton="0" quotePrefix="0" xfId="0">
      <protection locked="0" hidden="1"/>
    </xf>
    <xf numFmtId="0" fontId="0" fillId="0" borderId="19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20" fillId="9" borderId="12" applyAlignment="1" applyProtection="1" pivotButton="0" quotePrefix="0" xfId="2">
      <alignment horizontal="left" vertical="center" wrapText="1" shrinkToFit="1"/>
      <protection locked="1" hidden="1"/>
    </xf>
    <xf numFmtId="0" fontId="0" fillId="0" borderId="10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9" fillId="4" borderId="12" applyAlignment="1" applyProtection="1" pivotButton="0" quotePrefix="0" xfId="2">
      <alignment horizontal="left" vertical="center"/>
      <protection locked="1" hidden="1"/>
    </xf>
    <xf numFmtId="0" fontId="9" fillId="4" borderId="12" applyAlignment="1" applyProtection="1" pivotButton="0" quotePrefix="0" xfId="2">
      <alignment horizontal="center" vertical="center"/>
      <protection locked="1" hidden="1"/>
    </xf>
    <xf numFmtId="0" fontId="20" fillId="9" borderId="17" applyAlignment="1" applyProtection="1" pivotButton="0" quotePrefix="0" xfId="2">
      <alignment horizontal="center" vertical="center" wrapText="1" shrinkToFit="1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9" fontId="0" fillId="0" borderId="12" applyAlignment="1" pivotButton="0" quotePrefix="0" xfId="1">
      <alignment horizontal="center"/>
    </xf>
    <xf numFmtId="0" fontId="0" fillId="0" borderId="11" pivotButton="0" quotePrefix="0" xfId="0"/>
    <xf numFmtId="0" fontId="9" fillId="6" borderId="12" applyAlignment="1" applyProtection="1" pivotButton="0" quotePrefix="0" xfId="2">
      <alignment horizontal="center" vertical="center"/>
      <protection locked="1" hidden="1"/>
    </xf>
    <xf numFmtId="9" fontId="34" fillId="10" borderId="12" applyAlignment="1" pivotButton="0" quotePrefix="0" xfId="1">
      <alignment horizontal="center"/>
    </xf>
    <xf numFmtId="0" fontId="9" fillId="4" borderId="12" applyAlignment="1" applyProtection="1" pivotButton="0" quotePrefix="0" xfId="2">
      <alignment horizontal="center" vertical="center" wrapText="1"/>
      <protection locked="1" hidden="1"/>
    </xf>
    <xf numFmtId="0" fontId="0" fillId="0" borderId="18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23" fillId="4" borderId="12" applyAlignment="1" applyProtection="1" pivotButton="0" quotePrefix="0" xfId="2">
      <alignment horizontal="left" vertical="center"/>
      <protection locked="1" hidden="1"/>
    </xf>
  </cellXfs>
  <cellStyles count="8">
    <cellStyle name="Обычный" xfId="0" builtinId="0"/>
    <cellStyle name="Процентный" xfId="1" builtinId="5"/>
    <cellStyle name="Обычный 2" xfId="2"/>
    <cellStyle name="Answer 2 2" xfId="3"/>
    <cellStyle name="Обычный 4" xfId="4"/>
    <cellStyle name="Обычный 3" xfId="5"/>
    <cellStyle name="Процентный 2" xfId="6"/>
    <cellStyle name="Обычный 5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2">
    <outlinePr summaryBelow="1" summaryRight="1"/>
    <pageSetUpPr/>
  </sheetPr>
  <dimension ref="A1:D73"/>
  <sheetViews>
    <sheetView zoomScaleNormal="100" workbookViewId="0">
      <selection activeCell="A71" sqref="A71"/>
    </sheetView>
  </sheetViews>
  <sheetFormatPr baseColWidth="10" defaultColWidth="0" defaultRowHeight="14"/>
  <cols>
    <col width="113.3984375" customWidth="1" min="1" max="1"/>
    <col hidden="1" width="9" customWidth="1" min="2" max="16384"/>
  </cols>
  <sheetData>
    <row r="1" ht="34" customHeight="1" thickBot="1">
      <c r="A1" s="1" t="inlineStr">
        <is>
          <t>Инструкция по заполнению</t>
        </is>
      </c>
    </row>
    <row r="2" ht="23.25" customHeight="1">
      <c r="A2" s="38" t="inlineStr">
        <is>
          <t xml:space="preserve">Необходимо заполнить поля белого цвета. </t>
        </is>
      </c>
    </row>
    <row r="3" ht="92.25" customHeight="1">
      <c r="A3" s="39" t="inlineStr">
        <is>
          <t xml:space="preserve">Поля "итого" рассчитываются автоматически для контроля. Данные в таблице 1 рассчитываются автоматически по мере заполнения таблиц 2-5. Доли дохода от услуг также рассчитываются автоматически. Если Вы затрудняетесь с указанием точной выручки от каждого подсегмента,  заполните, пожалуйста, общий объем выручки в каждом сегменте IaaS, PaaS, SaaS, Сетевые и Прочие услуги и расставьте примерные доли каждого сегмента в процентах в колонке серого цвета. Тогда автоматический режим расчета работать не будет, но мы учтем эти данные в разбивке по подсегментам. 
</t>
        </is>
      </c>
    </row>
    <row r="4" ht="32.25" customHeight="1">
      <c r="A4" s="39" t="inlineStr">
        <is>
          <t xml:space="preserve">Раскрытие информации.
Запрашиваемые данные будут использованы при подготовке трекера квартальной выручки «Облачный провайдинг 2025. Ежеквартальный мониторинг». 
</t>
        </is>
      </c>
    </row>
    <row r="5" ht="101.25" customHeight="1">
      <c r="A5" s="39" t="inlineStr">
        <is>
          <t xml:space="preserve">По умолчанию действует следующий порядок использования и раскрытия информации:
В отчете в привязке к отдельным компаниям будут обрабатываться и использоваться следующие показатели: Таблица 1 "Виды услуг, все значения", Таблица 2 -"Сегменты IaaS", Таблица 3 -"Сегменты PaaS", Таблица 4 -"Сегменты SaaS", Таблицы 5-7 -"Безопасность, сетевые и прочие услуги". 
Данные из таблиц 8-17  используются для расчетов объемов инфраструктуры в целом по рынку и нигде не публиуются по отдельным компаниям.  
</t>
        </is>
      </c>
    </row>
    <row r="6" ht="78.75" customHeight="1">
      <c r="A6" s="39" t="inlineStr">
        <is>
          <t xml:space="preserve">Если вы не хотите публично раскрывать данные, представленные в Таблицах 1-7 (или какие-либо иные данные), пожалуйста, сопровождайте их буквой  "к" (конфиденциально). В этом случае компания не будет участвовать в рейтинге. 
Если часть данных, запрашиваемых в анкете, вы готовы предоставить только на условиях заверенной конфиденциальности, то, пожалуйста, свяжитесь с нами для заключения соответствующего NDA. </t>
        </is>
      </c>
    </row>
    <row r="7" ht="18" customHeight="1">
      <c r="A7" s="39" t="n"/>
    </row>
    <row r="8" ht="17" customHeight="1">
      <c r="A8" s="39" t="inlineStr">
        <is>
          <t xml:space="preserve">iKS-Consulting анализирует облачные услуги для сегментов B2B , B2G и B2C. </t>
        </is>
      </c>
    </row>
    <row r="9" ht="206.25" customHeight="1">
      <c r="A9" s="40" t="inlineStr">
        <is>
          <t>Мы проводим различие между операционными облачными сервисами, предоставляемыми операторами / поставщиками услуг и проектами для реализации облака (консалтинг, обучение, установка и т.д.). 
При заполнении анкеты просим Вас разбить сумму получаемого Вами дохода от облачных услуг по следующим разделам:
▪ IaaS - предоставление услуг виртуальной  инфраструктуры как в публичном облаке, так и в частных облаках на оборудовании провайдера. Таким образом, мы относим к IaaS услуги предоставления виртуальных дата-центров (VDC) в публичных облаках, выделенные и виртуальные частные облака, за исключением услуг по построению частного облака на оборудовании клиента в его или в арендованном ЦОДе. Также к IaaS мы относим услуги по бэкапу, резервированию и восстановлению данных, услуги bare metal (при условии автоматического предоставления услуги через панель управления в личном кабинете и тарификации с периодом сутки или менее).
▪ PaaS - предоставление различного вида облачных платформ для разрабочиков, для размещения поставщиков облачных услуг, для развертывания контейнеров и т.д. 
▪ SaaS - предоставление собственного ПО в качестве облачной услуги или продажа услуг партнеров по SaaS через маркетплейс (облачную витрину).</t>
        </is>
      </c>
    </row>
    <row r="10" ht="187" customHeight="1">
      <c r="A10" s="40" t="inlineStr">
        <is>
          <t>▪ Управление частным облаком на серверах клиента - услуга по поддержке и управлению облаком, которое расположено на оборудовании клиента и размещено в ЦОДе клиента или на арендованных стойках в коммерческом дата-центре. Мы выделяем такие услуги по управлению облачной инфраструктурой из сегмента IaaS и рассматриваем этот сегмент отдельно.  
▪ Поставка клиенту аппаратного обеспечения для построения частного облака - интеграторские услуги по поставке оборудования (в частности конвергированных и гиперконвергированных решений) для построения клиентом частного облака. 
▪ Поставка клиенту програмного обеспечения для построения частного облака
▪ Консультационные услуги по построению частных облаков
▪ Услуги по созданию и поддержке мультиоблака
Услуги информационной безопасности, включая SOC, AntiDDos</t>
        </is>
      </c>
    </row>
    <row r="11" ht="63.75" customHeight="1">
      <c r="A11" s="41" t="inlineStr">
        <is>
          <t>В таблицах полученная выручка указывается за 2024, за первый квартал 2025 года, а также прогноз на весь 2025 год. В таблицах в правой колонке указывается количество клиентов на конец периода (2024 год, на конец первого квартала 2025 года и прогнозное значение на конец 2025 года).</t>
        </is>
      </c>
    </row>
    <row r="12" ht="34" customHeight="1">
      <c r="A12" s="40" t="inlineStr">
        <is>
          <t>К IaaS относятся услуги предоставления инфраструктуры (дискового пространства, вычислительных мощностей) в частном или публичном облаке. Категории ПО, которые относятся к IaaS:</t>
        </is>
      </c>
    </row>
    <row r="13" ht="15" customHeight="1">
      <c r="A13" s="63" t="inlineStr">
        <is>
          <t>·         Виртуальные ЦОДы в публичном облаке (Public Cloud)</t>
        </is>
      </c>
    </row>
    <row r="14" ht="15" customHeight="1">
      <c r="A14" s="67" t="inlineStr">
        <is>
          <t>·         Виртуальные ЦОДы в частном облаке, построенном на инфраструктуре облачного провайдера (Private Cloud)</t>
        </is>
      </c>
    </row>
    <row r="15" ht="15" customHeight="1">
      <c r="A15" s="63" t="inlineStr">
        <is>
          <t>·         VPS/VDS - частные виртуальные серверы (Virtual Private Server / Virtual Dedicated Server)</t>
        </is>
      </c>
    </row>
    <row r="16" ht="15" customHeight="1">
      <c r="A16" s="63" t="inlineStr">
        <is>
          <t>·         Услуги bare metal – удаленный доступ к физическим серверам без виртуализации</t>
        </is>
      </c>
    </row>
    <row r="17" ht="15" customHeight="1">
      <c r="A17" s="63" t="inlineStr">
        <is>
          <t>·         BaaS (BackUp), DRaaS (Disaster Recovery as a Service) - услуги выполнения backup и восстановления данных из систем хранения</t>
        </is>
      </c>
    </row>
    <row r="18" ht="15" customHeight="1">
      <c r="A18" s="63" t="inlineStr">
        <is>
          <t>·         STaaS (Storage-as-a-Service) - услуга объектного хранения данных</t>
        </is>
      </c>
    </row>
    <row r="19" ht="15" customHeight="1">
      <c r="A19" s="67" t="inlineStr">
        <is>
          <t>·         Предоставление облачной структуры, удовлетворяющей требованиям по защите персональных данных по закону 152-ФЗ</t>
        </is>
      </c>
    </row>
    <row r="20" ht="15" customHeight="1">
      <c r="A20" s="63" t="inlineStr">
        <is>
          <t>·         VDI (Virtual Desktop Infrastructure) - разворачивание рабочих мест на базе удаленного сервера</t>
        </is>
      </c>
    </row>
    <row r="21" ht="16" customHeight="1">
      <c r="A21" s="43" t="n"/>
    </row>
    <row r="22" ht="34" customHeight="1">
      <c r="A22" s="40" t="inlineStr">
        <is>
          <t>К SaaS iKS-Consulting относит  услуги по предоставлению доступа к программному обеспечению через Интернет на условиях аренды. Категории ПО, которые определяют подсегменты рынка SaaS:</t>
        </is>
      </c>
    </row>
    <row r="23" ht="15" customHeight="1">
      <c r="A23" s="62" t="inlineStr">
        <is>
          <t>Офисные приложения:</t>
        </is>
      </c>
    </row>
    <row r="24" ht="15" customHeight="1">
      <c r="A24" s="63" t="inlineStr">
        <is>
          <t>·         Пакеты программ, предназначенные для редактирования документов, создания, редактирования и расчета электронных таблиц, подготовки презентаций</t>
        </is>
      </c>
    </row>
    <row r="25" ht="15" customHeight="1">
      <c r="A25" s="63" t="inlineStr">
        <is>
          <t>·         Программы для создания и редактирования графических изображений, подготовки графических рекламных материалов, верстки печатных и электронных изданий и т.д.</t>
        </is>
      </c>
    </row>
    <row r="26" ht="15" customHeight="1">
      <c r="A26" s="63" t="inlineStr">
        <is>
          <t>·         Электронные переводчики, системы распознавания изображений</t>
        </is>
      </c>
    </row>
    <row r="27" ht="15" customHeight="1">
      <c r="A27" s="63" t="inlineStr">
        <is>
          <t>·         Программы для контроля объема и качества интернет-трафика</t>
        </is>
      </c>
    </row>
    <row r="28" ht="15" customHeight="1">
      <c r="A28" s="63" t="inlineStr">
        <is>
          <t>·         Облачные CRM-системы, отдельные элементы</t>
        </is>
      </c>
    </row>
    <row r="29" ht="15" customHeight="1">
      <c r="A29" s="63" t="inlineStr">
        <is>
          <t>·         Системы управления предприятием</t>
        </is>
      </c>
    </row>
    <row r="30" ht="15" customHeight="1">
      <c r="A30" s="63" t="inlineStr">
        <is>
          <t>·         Облачные  ERP-системы</t>
        </is>
      </c>
    </row>
    <row r="31" ht="15" customHeight="1">
      <c r="A31" s="68" t="inlineStr">
        <is>
          <t>·         Облачные  SCM-системы</t>
        </is>
      </c>
    </row>
    <row r="32" ht="15" customHeight="1">
      <c r="A32" s="62" t="inlineStr">
        <is>
          <t>Бизнес-приложения для бухгалтерского учета и отчетности</t>
        </is>
      </c>
    </row>
    <row r="33" ht="15" customHeight="1">
      <c r="A33" s="63" t="inlineStr">
        <is>
          <t>·         Программы бухгалтерского учета</t>
        </is>
      </c>
    </row>
    <row r="34" ht="15" customHeight="1">
      <c r="A34" s="63" t="inlineStr">
        <is>
          <t>·         Облачные приложения для подготовки отчетности в налоговые и статистические органы</t>
        </is>
      </c>
    </row>
    <row r="35" ht="15" customHeight="1">
      <c r="A35" s="63" t="inlineStr">
        <is>
          <t>·         Средства коммуникации и управления веб-сайтами</t>
        </is>
      </c>
    </row>
    <row r="36" ht="15" customHeight="1">
      <c r="A36" s="63" t="inlineStr">
        <is>
          <t>·         Почтовые системы</t>
        </is>
      </c>
    </row>
    <row r="37" ht="15" customHeight="1">
      <c r="A37" s="63" t="inlineStr">
        <is>
          <t>·         Конструкторы сайтов, CMS -системы</t>
        </is>
      </c>
    </row>
    <row r="38" ht="15" customHeight="1">
      <c r="A38" s="63" t="inlineStr">
        <is>
          <t>·         Программы для ведения чатов</t>
        </is>
      </c>
    </row>
    <row r="39" ht="15" customHeight="1">
      <c r="A39" s="62" t="inlineStr">
        <is>
          <t>Программы для коммуникации клиентов</t>
        </is>
      </c>
    </row>
    <row r="40" ht="15" customHeight="1">
      <c r="A40" s="63" t="inlineStr">
        <is>
          <t>·         Облачные программы для проведения видеоконференцсвязи (ВКС)</t>
        </is>
      </c>
    </row>
    <row r="41" ht="15" customHeight="1">
      <c r="A41" s="63" t="inlineStr">
        <is>
          <t>·         Программы для проведения вебинаров, системы обучения</t>
        </is>
      </c>
    </row>
    <row r="42" ht="15" customHeight="1">
      <c r="A42" s="62" t="inlineStr">
        <is>
          <t>Программы для телефонии</t>
        </is>
      </c>
    </row>
    <row r="43" ht="15" customHeight="1">
      <c r="A43" s="63" t="inlineStr">
        <is>
          <t>·         Виртуальные АТС</t>
        </is>
      </c>
    </row>
    <row r="44" ht="15" customHeight="1">
      <c r="A44" s="63" t="inlineStr">
        <is>
          <t>·         Виртуальные контакт-центры</t>
        </is>
      </c>
    </row>
    <row r="45" ht="15" customHeight="1">
      <c r="A45" s="62" t="inlineStr">
        <is>
          <t>Системы безопасности и управления доступом</t>
        </is>
      </c>
    </row>
    <row r="46" ht="15" customHeight="1">
      <c r="A46" s="63" t="inlineStr">
        <is>
          <t>·         Антивирусы</t>
        </is>
      </c>
    </row>
    <row r="47" ht="15" customHeight="1">
      <c r="A47" s="63" t="inlineStr">
        <is>
          <t>·         Системы учета пользователей</t>
        </is>
      </c>
    </row>
    <row r="48" ht="15" customHeight="1">
      <c r="A48" s="62" t="inlineStr">
        <is>
          <t>Системы аналитики</t>
        </is>
      </c>
    </row>
    <row r="49" ht="15" customHeight="1">
      <c r="A49" s="63" t="inlineStr">
        <is>
          <t>·         Системы бизнес-аналитики</t>
        </is>
      </c>
    </row>
    <row r="50" ht="15" customHeight="1">
      <c r="A50" s="63" t="inlineStr">
        <is>
          <t>·         Системы для проведения опросов</t>
        </is>
      </c>
    </row>
    <row r="51" ht="15" customHeight="1">
      <c r="A51" s="62" t="inlineStr">
        <is>
          <t>Программы для контроля объема и качества интернет-трафика, анализ соц. сетей</t>
        </is>
      </c>
    </row>
    <row r="52" ht="15" customHeight="1">
      <c r="A52" s="62" t="inlineStr">
        <is>
          <t>Облачное видеонаблюдение</t>
        </is>
      </c>
    </row>
    <row r="53" ht="15" customHeight="1">
      <c r="A53" s="62" t="inlineStr">
        <is>
          <t>Укажите другие SaaS услуги, которые предоставляет ваша компания</t>
        </is>
      </c>
    </row>
    <row r="54" ht="16" customHeight="1">
      <c r="A54" s="61" t="n"/>
    </row>
    <row r="55" ht="68" customHeight="1">
      <c r="A55" s="69" t="inlineStr">
        <is>
          <t xml:space="preserve">PaaS - «платформа как услуга» — модель предоставления облачных вычислений, при которой потребитель получает доступ к использованию информационно-технологических платформ: операционных систем, систем управления базами данных, связующему программному обеспечению, средствам разработки и тестирования, размещённым у облачного провайдера. </t>
        </is>
      </c>
    </row>
    <row r="56" ht="16" customHeight="1">
      <c r="A56" s="63" t="inlineStr">
        <is>
          <t>Управление контейнерами (включая Kubernetes)</t>
        </is>
      </c>
      <c r="B56" s="42" t="n"/>
      <c r="C56" s="42" t="n"/>
      <c r="D56" s="42" t="n"/>
    </row>
    <row r="57" ht="16" customHeight="1">
      <c r="A57" s="63" t="inlineStr">
        <is>
          <t>Платформы для разработчиков, микросервисы</t>
        </is>
      </c>
      <c r="B57" s="42" t="n"/>
      <c r="C57" s="42" t="n"/>
      <c r="D57" s="42" t="n"/>
    </row>
    <row r="58" ht="16" customHeight="1">
      <c r="A58" s="63" t="inlineStr">
        <is>
          <t>Платформы для баз данных (DBaaS)</t>
        </is>
      </c>
      <c r="B58" s="42" t="n"/>
      <c r="C58" s="42" t="n"/>
      <c r="D58" s="42" t="n"/>
    </row>
    <row r="59" ht="16" customHeight="1">
      <c r="A59" s="63" t="inlineStr">
        <is>
          <t>Платформы для аналитики данных (BI)</t>
        </is>
      </c>
      <c r="B59" s="42" t="n"/>
      <c r="C59" s="42" t="n"/>
      <c r="D59" s="42" t="n"/>
    </row>
    <row r="60" ht="16" customHeight="1">
      <c r="A60" s="63" t="inlineStr">
        <is>
          <t>Виртуальный хостинг сайтов (Web-хостинг)</t>
        </is>
      </c>
      <c r="B60" s="42" t="n"/>
      <c r="C60" s="42" t="n"/>
      <c r="D60" s="42" t="n"/>
    </row>
    <row r="61" ht="16" customHeight="1">
      <c r="A61" s="63" t="inlineStr">
        <is>
          <t>Сети доставки контента (CDN)</t>
        </is>
      </c>
      <c r="B61" s="42" t="n"/>
      <c r="C61" s="42" t="n"/>
      <c r="D61" s="42" t="n"/>
    </row>
    <row r="62" ht="16" customHeight="1">
      <c r="A62" s="63" t="inlineStr">
        <is>
          <t>Communication PaaS (CPaaS), API Gateway</t>
        </is>
      </c>
      <c r="B62" s="42" t="n"/>
      <c r="C62" s="42" t="n"/>
      <c r="D62" s="42" t="n"/>
    </row>
    <row r="63" ht="16" customHeight="1">
      <c r="A63" s="63" t="inlineStr">
        <is>
          <t>MLOps (платформы для разработки моделей машинного обучения)</t>
        </is>
      </c>
      <c r="B63" s="42" t="n"/>
      <c r="C63" s="42" t="n"/>
      <c r="D63" s="42" t="n"/>
    </row>
    <row r="64" ht="16" customHeight="1">
      <c r="A64" s="63" t="inlineStr">
        <is>
          <t>Синтез и распознавание речи (включая ASR/TTS, NLP, перевод, речевая аналитика)</t>
        </is>
      </c>
      <c r="B64" s="42" t="n"/>
      <c r="C64" s="42" t="n"/>
      <c r="D64" s="42" t="n"/>
    </row>
    <row r="65" ht="16" customHeight="1">
      <c r="A65" s="63" t="inlineStr">
        <is>
          <t>Распознавание изображений, видео и документов</t>
        </is>
      </c>
      <c r="B65" s="42" t="n"/>
      <c r="C65" s="42" t="n"/>
      <c r="D65" s="42" t="n"/>
    </row>
    <row r="66" ht="16" customHeight="1">
      <c r="A66" s="63" t="inlineStr">
        <is>
          <t>Доступ к платформам генеративного ИИ</t>
        </is>
      </c>
      <c r="B66" s="42" t="n"/>
      <c r="C66" s="42" t="n"/>
      <c r="D66" s="42" t="n"/>
    </row>
    <row r="67" ht="16" customHeight="1">
      <c r="A67" s="63" t="inlineStr">
        <is>
          <t>ИИ-поиск (Search &amp; Knowledge Discovery)</t>
        </is>
      </c>
      <c r="B67" s="42" t="n"/>
      <c r="C67" s="42" t="n"/>
      <c r="D67" s="42" t="n"/>
    </row>
    <row r="68" ht="16" customHeight="1">
      <c r="A68" s="63" t="inlineStr">
        <is>
          <t>Платформы для расчетов на суперкомпьютере</t>
        </is>
      </c>
      <c r="B68" s="42" t="n"/>
      <c r="C68" s="42" t="n"/>
      <c r="D68" s="42" t="n"/>
    </row>
    <row r="69" ht="16" customHeight="1">
      <c r="A69" s="63" t="inlineStr">
        <is>
          <t>IoT платформы, в том числе платформы умного дома</t>
        </is>
      </c>
      <c r="B69" s="42" t="n"/>
      <c r="C69" s="42" t="n"/>
      <c r="D69" s="42" t="n"/>
    </row>
    <row r="70" ht="16" customHeight="1">
      <c r="A70" s="63" t="inlineStr">
        <is>
          <t>Доступ у услугам PaaS зарубежных гиперскейлеров</t>
        </is>
      </c>
      <c r="B70" s="42" t="n"/>
      <c r="C70" s="42" t="n"/>
      <c r="D70" s="42" t="n"/>
    </row>
    <row r="71" ht="16" customHeight="1">
      <c r="A71" s="42" t="n"/>
    </row>
    <row r="73" ht="51" customHeight="1">
      <c r="A73" s="60" t="inlineStr">
        <is>
          <t xml:space="preserve">Таблица 17 - под экосистемой понимаем совокупность дочерних, родительских, сестринских компаний, связанных имущественными правами или имеющих единые органы управления или тесное сотрудничество по основным видам деятельности. Решение о выборе поставщиков услуг внутри экосистемы не является полностью независимым. 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 codeName="Лист1">
    <outlinePr summaryBelow="1" summaryRight="1"/>
    <pageSetUpPr fitToPage="1"/>
  </sheetPr>
  <dimension ref="A1:AA231"/>
  <sheetViews>
    <sheetView tabSelected="1" topLeftCell="A139" zoomScale="120" zoomScaleNormal="120" workbookViewId="0">
      <selection activeCell="K140" sqref="K140:L140"/>
    </sheetView>
  </sheetViews>
  <sheetFormatPr baseColWidth="10" defaultColWidth="0" defaultRowHeight="14" zeroHeight="1"/>
  <cols>
    <col width="2.3984375" customWidth="1" min="1" max="1"/>
    <col width="9" customWidth="1" min="2" max="3"/>
    <col width="14.3984375" customWidth="1" min="4" max="4"/>
    <col width="12.19921875" customWidth="1" min="5" max="5"/>
    <col width="21.3984375" customWidth="1" min="6" max="6"/>
    <col width="7.796875" customWidth="1" min="7" max="7"/>
    <col width="6.59765625" customWidth="1" min="8" max="12"/>
    <col width="5.3984375" customWidth="1" min="13" max="13"/>
    <col width="6.796875" customWidth="1" min="14" max="19"/>
    <col width="4.796875" customWidth="1" min="20" max="20"/>
    <col width="6.59765625" customWidth="1" min="21" max="25"/>
    <col width="6.19921875" customWidth="1" min="26" max="26"/>
    <col width="1.59765625" customWidth="1" min="27" max="27"/>
    <col hidden="1" style="30" min="28" max="34"/>
    <col hidden="1" width="8.796875" customWidth="1" style="30" min="35" max="35"/>
    <col hidden="1" style="30" min="36" max="42"/>
    <col hidden="1" width="8.796875" customWidth="1" style="30" min="43" max="43"/>
    <col hidden="1" style="30" min="44" max="61"/>
    <col hidden="1" width="5" customWidth="1" style="30" min="62" max="16384"/>
  </cols>
  <sheetData>
    <row r="1" ht="12.75" customHeight="1">
      <c r="A1" s="132" t="inlineStr">
        <is>
          <t>Исследование рынка облачных услуг - 2-й квартал 2026 года и итоги 2025 года
*если компания ранее заполняла данные по 2025 году, и изменений в данных нет, то эти данные можно не повторять</t>
        </is>
      </c>
      <c r="B1" s="133" t="n"/>
      <c r="C1" s="133" t="n"/>
      <c r="D1" s="133" t="n"/>
      <c r="E1" s="133" t="n"/>
      <c r="F1" s="133" t="n"/>
      <c r="G1" s="133" t="n"/>
      <c r="H1" s="133" t="n"/>
      <c r="I1" s="133" t="n"/>
      <c r="J1" s="133" t="n"/>
      <c r="K1" s="133" t="n"/>
      <c r="L1" s="133" t="n"/>
      <c r="M1" s="133" t="n"/>
      <c r="N1" s="133" t="n"/>
      <c r="O1" s="133" t="n"/>
      <c r="P1" s="133" t="n"/>
      <c r="Q1" s="133" t="n"/>
      <c r="R1" s="133" t="n"/>
      <c r="S1" s="133" t="n"/>
      <c r="T1" s="134" t="inlineStr">
        <is>
          <t>Анкета iKS-Consulting, 2026</t>
        </is>
      </c>
      <c r="U1" s="133" t="n"/>
      <c r="V1" s="133" t="n"/>
      <c r="W1" s="133" t="n"/>
      <c r="X1" s="133" t="n"/>
      <c r="Y1" s="133" t="n"/>
      <c r="Z1" s="133" t="n"/>
      <c r="AA1" s="133" t="n"/>
    </row>
    <row r="2" ht="25.5" customHeight="1" thickBot="1">
      <c r="A2" s="135" t="n"/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6" t="n"/>
      <c r="Z2" s="136" t="n"/>
      <c r="AA2" s="136" t="n"/>
    </row>
    <row r="3" ht="9" customHeight="1">
      <c r="A3" s="12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14.25" customFormat="1" customHeight="1" s="4">
      <c r="A4" s="12" t="n"/>
      <c r="B4" s="115" t="inlineStr">
        <is>
          <t xml:space="preserve">Юридическое название компании   </t>
        </is>
      </c>
      <c r="C4" s="137" t="n"/>
      <c r="D4" s="137" t="n"/>
      <c r="E4" s="116" t="inlineStr">
        <is>
          <t>ООО "Флекс"</t>
        </is>
      </c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  <c r="O4" s="138" t="n"/>
      <c r="P4" s="138" t="n"/>
      <c r="Q4" s="138" t="n"/>
      <c r="R4" s="138" t="n"/>
      <c r="S4" s="138" t="n"/>
      <c r="T4" s="138" t="n"/>
      <c r="U4" s="138" t="n"/>
      <c r="V4" s="138" t="n"/>
      <c r="W4" s="138" t="n"/>
      <c r="X4" s="138" t="n"/>
      <c r="Y4" s="138" t="n"/>
      <c r="Z4" s="139" t="n"/>
      <c r="AA4" s="5" t="n"/>
    </row>
    <row r="5" ht="6" customHeight="1">
      <c r="A5" s="12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12.75" customHeight="1">
      <c r="A6" s="12" t="n"/>
      <c r="B6" s="115" t="inlineStr">
        <is>
          <t xml:space="preserve">Бренд, под которым предоставляются услуги   </t>
        </is>
      </c>
      <c r="C6" s="137" t="n"/>
      <c r="D6" s="137" t="n"/>
      <c r="E6" s="116" t="inlineStr">
        <is>
          <t>Cloud4Y</t>
        </is>
      </c>
      <c r="F6" s="138" t="n"/>
      <c r="G6" s="138" t="n"/>
      <c r="H6" s="138" t="n"/>
      <c r="I6" s="138" t="n"/>
      <c r="J6" s="138" t="n"/>
      <c r="K6" s="138" t="n"/>
      <c r="L6" s="138" t="n"/>
      <c r="M6" s="138" t="n"/>
      <c r="N6" s="138" t="n"/>
      <c r="O6" s="138" t="n"/>
      <c r="P6" s="138" t="n"/>
      <c r="Q6" s="138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9" t="n"/>
      <c r="AA6" s="5" t="n"/>
    </row>
    <row r="7" ht="6" customHeight="1">
      <c r="A7" s="12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 ht="27.75" customHeight="1" thickBot="1">
      <c r="A8" s="12" t="n"/>
      <c r="B8" s="24" t="n"/>
      <c r="C8" s="24" t="n"/>
      <c r="D8" s="24" t="n"/>
      <c r="E8" s="24" t="n"/>
      <c r="F8" s="24" t="n"/>
      <c r="G8" s="96" t="inlineStr">
        <is>
          <t>Выручка от облачных услуг</t>
        </is>
      </c>
      <c r="H8" s="140" t="n"/>
      <c r="I8" s="140" t="n"/>
      <c r="J8" s="140" t="n"/>
      <c r="K8" s="140" t="n"/>
      <c r="L8" s="140" t="n"/>
      <c r="M8" s="24" t="n"/>
      <c r="N8" s="96" t="inlineStr">
        <is>
          <t>Доля от облачных услуг</t>
        </is>
      </c>
      <c r="O8" s="140" t="n"/>
      <c r="P8" s="140" t="n"/>
      <c r="Q8" s="140" t="n"/>
      <c r="R8" s="140" t="n"/>
      <c r="S8" s="140" t="n"/>
      <c r="T8" s="24" t="n"/>
      <c r="U8" s="96" t="inlineStr">
        <is>
          <t>Количество клиентов на конец периода</t>
        </is>
      </c>
      <c r="V8" s="140" t="n"/>
      <c r="W8" s="140" t="n"/>
      <c r="X8" s="140" t="n"/>
      <c r="Y8" s="140" t="n"/>
      <c r="Z8" s="140" t="n"/>
      <c r="AA8" s="5" t="n"/>
    </row>
    <row r="9" ht="15" customHeight="1" thickTop="1">
      <c r="A9" s="12" t="n"/>
      <c r="B9" s="114" t="inlineStr">
        <is>
          <t>Таблица 1</t>
        </is>
      </c>
      <c r="C9" s="141" t="n"/>
      <c r="D9" s="141" t="n"/>
      <c r="E9" s="141" t="n"/>
      <c r="F9" s="20" t="n"/>
      <c r="G9" s="52" t="inlineStr">
        <is>
          <t>итог</t>
        </is>
      </c>
      <c r="H9" s="52" t="inlineStr">
        <is>
          <t>итог</t>
        </is>
      </c>
      <c r="I9" s="52" t="inlineStr">
        <is>
          <t>итог</t>
        </is>
      </c>
      <c r="J9" s="52" t="inlineStr">
        <is>
          <t>прогноз</t>
        </is>
      </c>
      <c r="K9" s="52" t="inlineStr">
        <is>
          <t>прогноз</t>
        </is>
      </c>
      <c r="L9" s="52" t="inlineStr">
        <is>
          <t>прогноз</t>
        </is>
      </c>
      <c r="M9" s="5" t="n"/>
      <c r="N9" s="52" t="inlineStr">
        <is>
          <t>итог</t>
        </is>
      </c>
      <c r="O9" s="52" t="inlineStr">
        <is>
          <t>итог</t>
        </is>
      </c>
      <c r="P9" s="52" t="inlineStr">
        <is>
          <t>итог</t>
        </is>
      </c>
      <c r="Q9" s="52" t="inlineStr">
        <is>
          <t>прогноз</t>
        </is>
      </c>
      <c r="R9" s="52" t="inlineStr">
        <is>
          <t>прогноз</t>
        </is>
      </c>
      <c r="S9" s="52" t="inlineStr">
        <is>
          <t>прогноз</t>
        </is>
      </c>
      <c r="T9" s="5" t="n"/>
      <c r="U9" s="52" t="inlineStr">
        <is>
          <t>итог</t>
        </is>
      </c>
      <c r="V9" s="52" t="inlineStr">
        <is>
          <t>итог</t>
        </is>
      </c>
      <c r="W9" s="52" t="inlineStr">
        <is>
          <t>итог</t>
        </is>
      </c>
      <c r="X9" s="52" t="inlineStr">
        <is>
          <t>прогноз</t>
        </is>
      </c>
      <c r="Y9" s="52" t="inlineStr">
        <is>
          <t>прогноз</t>
        </is>
      </c>
      <c r="Z9" s="52" t="inlineStr">
        <is>
          <t>прогноз</t>
        </is>
      </c>
      <c r="AA9" s="5" t="n"/>
    </row>
    <row r="10" ht="19.5" customFormat="1" customHeight="1" s="55">
      <c r="A10" s="12" t="n"/>
      <c r="B10" s="142" t="inlineStr">
        <is>
          <t>Виды услуг, все значения в млн руб., без НДС</t>
        </is>
      </c>
      <c r="C10" s="143" t="n"/>
      <c r="D10" s="143" t="n"/>
      <c r="E10" s="144" t="n"/>
      <c r="F10" s="113" t="n"/>
      <c r="G10" s="13" t="n">
        <v>2025</v>
      </c>
      <c r="H10" s="13" t="inlineStr">
        <is>
          <t>1q 2026</t>
        </is>
      </c>
      <c r="I10" s="13" t="inlineStr">
        <is>
          <t>2q 2026</t>
        </is>
      </c>
      <c r="J10" s="13" t="inlineStr">
        <is>
          <t>3q 2026</t>
        </is>
      </c>
      <c r="K10" s="13" t="inlineStr">
        <is>
          <t>4q 2026</t>
        </is>
      </c>
      <c r="L10" s="13" t="n">
        <v>2026</v>
      </c>
      <c r="M10" s="25" t="n"/>
      <c r="N10" s="13" t="n">
        <v>2025</v>
      </c>
      <c r="O10" s="13" t="inlineStr">
        <is>
          <t>1q 2026</t>
        </is>
      </c>
      <c r="P10" s="13" t="inlineStr">
        <is>
          <t>2q 2026</t>
        </is>
      </c>
      <c r="Q10" s="13" t="inlineStr">
        <is>
          <t>3q 2026</t>
        </is>
      </c>
      <c r="R10" s="13" t="inlineStr">
        <is>
          <t>4q 2026</t>
        </is>
      </c>
      <c r="S10" s="13" t="n">
        <v>2026</v>
      </c>
      <c r="T10" s="25" t="n"/>
      <c r="U10" s="13" t="n">
        <v>2025</v>
      </c>
      <c r="V10" s="13" t="inlineStr">
        <is>
          <t>1q 2026</t>
        </is>
      </c>
      <c r="W10" s="13" t="inlineStr">
        <is>
          <t>2q 2026</t>
        </is>
      </c>
      <c r="X10" s="13" t="inlineStr">
        <is>
          <t>3q 2026</t>
        </is>
      </c>
      <c r="Y10" s="13" t="inlineStr">
        <is>
          <t>4q 2026</t>
        </is>
      </c>
      <c r="Z10" s="13" t="n">
        <v>2026</v>
      </c>
    </row>
    <row r="11" ht="14.25" customFormat="1" customHeight="1" s="55">
      <c r="A11" s="12" t="n"/>
      <c r="B11" s="145" t="inlineStr">
        <is>
          <t>IaaS</t>
        </is>
      </c>
      <c r="C11" s="143" t="n"/>
      <c r="D11" s="143" t="n"/>
      <c r="E11" s="144" t="n"/>
      <c r="F11" s="27" t="n"/>
      <c r="G11" s="29">
        <f>IF(G36&gt;0,G36,"")</f>
        <v/>
      </c>
      <c r="H11" s="29">
        <f>IF(H36&gt;0,H36,"")</f>
        <v/>
      </c>
      <c r="I11" s="29">
        <f>IF(I36&gt;0,I36,"")</f>
        <v/>
      </c>
      <c r="J11" s="29">
        <f>IF(J36&gt;0,J36,"")</f>
        <v/>
      </c>
      <c r="K11" s="29">
        <f>IF(K36&gt;0,K36,"")</f>
        <v/>
      </c>
      <c r="L11" s="29">
        <f>IF(L36&gt;0,L36,"")</f>
        <v/>
      </c>
      <c r="M11" s="25" t="n"/>
      <c r="N11" s="31">
        <f>IFERROR(G11/G$17,"")</f>
        <v/>
      </c>
      <c r="O11" s="31">
        <f>IFERROR(H11/H$17,"")</f>
        <v/>
      </c>
      <c r="P11" s="31">
        <f>IFERROR(I11/I$17,"")</f>
        <v/>
      </c>
      <c r="Q11" s="31">
        <f>IFERROR(J11/J$17,"")</f>
        <v/>
      </c>
      <c r="R11" s="31">
        <f>IFERROR(K11/K$17,"")</f>
        <v/>
      </c>
      <c r="S11" s="31">
        <f>IFERROR(L11/L$17,"")</f>
        <v/>
      </c>
      <c r="T11" s="25" t="n"/>
      <c r="U11" s="54" t="n"/>
      <c r="V11" s="54" t="n"/>
      <c r="W11" s="54" t="n"/>
      <c r="X11" s="64" t="n"/>
      <c r="Y11" s="64" t="n"/>
      <c r="Z11" s="54" t="n"/>
    </row>
    <row r="12" ht="14.25" customFormat="1" customHeight="1" s="55">
      <c r="A12" s="12" t="n"/>
      <c r="B12" s="145" t="inlineStr">
        <is>
          <t>PaaS</t>
        </is>
      </c>
      <c r="C12" s="143" t="n"/>
      <c r="D12" s="143" t="n"/>
      <c r="E12" s="144" t="n"/>
      <c r="F12" s="27" t="n"/>
      <c r="G12" s="29">
        <f>IF(G59&gt;0,G59,"")</f>
        <v/>
      </c>
      <c r="H12" s="29">
        <f>IF(H59&gt;0,H59,"")</f>
        <v/>
      </c>
      <c r="I12" s="29">
        <f>IF(I59&gt;0,I59,"")</f>
        <v/>
      </c>
      <c r="J12" s="29">
        <f>IF(J59&gt;0,J59,"")</f>
        <v/>
      </c>
      <c r="K12" s="29">
        <f>IF(K59&gt;0,K59,"")</f>
        <v/>
      </c>
      <c r="L12" s="29">
        <f>IF(L59&gt;0,L59,"")</f>
        <v/>
      </c>
      <c r="M12" s="25" t="n"/>
      <c r="N12" s="31">
        <f>IFERROR(G12/G$17,"")</f>
        <v/>
      </c>
      <c r="O12" s="31">
        <f>IFERROR(H12/H$17,"")</f>
        <v/>
      </c>
      <c r="P12" s="31">
        <f>IFERROR(I12/I$17,"")</f>
        <v/>
      </c>
      <c r="Q12" s="31">
        <f>IFERROR(J12/J$17,"")</f>
        <v/>
      </c>
      <c r="R12" s="31">
        <f>IFERROR(K12/K$17,"")</f>
        <v/>
      </c>
      <c r="S12" s="31">
        <f>IFERROR(L12/L$17,"")</f>
        <v/>
      </c>
      <c r="T12" s="25" t="n"/>
      <c r="U12" s="54" t="n"/>
      <c r="V12" s="54" t="n"/>
      <c r="W12" s="54" t="n"/>
      <c r="X12" s="64" t="n"/>
      <c r="Y12" s="64" t="n"/>
      <c r="Z12" s="54" t="n"/>
    </row>
    <row r="13" ht="14.25" customFormat="1" customHeight="1" s="55">
      <c r="A13" s="12" t="n"/>
      <c r="B13" s="145" t="inlineStr">
        <is>
          <t>SaaS</t>
        </is>
      </c>
      <c r="C13" s="143" t="n"/>
      <c r="D13" s="143" t="n"/>
      <c r="E13" s="144" t="n"/>
      <c r="F13" s="27" t="n"/>
      <c r="G13" s="29">
        <f>IF(G82&gt;0,G82,"")</f>
        <v/>
      </c>
      <c r="H13" s="29">
        <f>IF(H82&gt;0,H82,"")</f>
        <v/>
      </c>
      <c r="I13" s="29">
        <f>IF(I82&gt;0,I82,"")</f>
        <v/>
      </c>
      <c r="J13" s="29">
        <f>IF(J82&gt;0,J82,"")</f>
        <v/>
      </c>
      <c r="K13" s="29">
        <f>IF(K82&gt;0,K82,"")</f>
        <v/>
      </c>
      <c r="L13" s="29">
        <f>IF(L82&gt;0,L82,"")</f>
        <v/>
      </c>
      <c r="M13" s="25" t="n"/>
      <c r="N13" s="31">
        <f>IFERROR(G13/G$17,"")</f>
        <v/>
      </c>
      <c r="O13" s="31">
        <f>IFERROR(H13/H$17,"")</f>
        <v/>
      </c>
      <c r="P13" s="31">
        <f>IFERROR(I13/I$17,"")</f>
        <v/>
      </c>
      <c r="Q13" s="31">
        <f>IFERROR(J13/J$17,"")</f>
        <v/>
      </c>
      <c r="R13" s="31">
        <f>IFERROR(K13/K$17,"")</f>
        <v/>
      </c>
      <c r="S13" s="31">
        <f>IFERROR(L13/L$17,"")</f>
        <v/>
      </c>
      <c r="T13" s="25" t="n"/>
      <c r="U13" s="54" t="n"/>
      <c r="V13" s="54" t="n"/>
      <c r="W13" s="54" t="n"/>
      <c r="X13" s="64" t="n"/>
      <c r="Y13" s="64" t="n"/>
      <c r="Z13" s="54" t="n"/>
    </row>
    <row r="14" ht="14.25" customFormat="1" customHeight="1" s="55">
      <c r="A14" s="12" t="n"/>
      <c r="B14" s="75" t="inlineStr">
        <is>
          <t>Сетевые услуги</t>
        </is>
      </c>
      <c r="C14" s="76" t="n"/>
      <c r="D14" s="76" t="n"/>
      <c r="E14" s="77" t="n"/>
      <c r="F14" s="28" t="n"/>
      <c r="G14" s="29">
        <f>IF(G95&gt;0,G95,"")</f>
        <v/>
      </c>
      <c r="H14" s="29">
        <f>IF(H95&gt;0,H95,"")</f>
        <v/>
      </c>
      <c r="I14" s="29">
        <f>IF(I95&gt;0,I95,"")</f>
        <v/>
      </c>
      <c r="J14" s="29">
        <f>IF(J95&gt;0,J95,"")</f>
        <v/>
      </c>
      <c r="K14" s="29">
        <f>IF(K95&gt;0,K95,"")</f>
        <v/>
      </c>
      <c r="L14" s="29">
        <f>IF(L95&gt;0,L95,"")</f>
        <v/>
      </c>
      <c r="M14" s="25" t="n"/>
      <c r="N14" s="31">
        <f>IFERROR(G14/G$17,"")</f>
        <v/>
      </c>
      <c r="O14" s="31">
        <f>IFERROR(H14/H$17,"")</f>
        <v/>
      </c>
      <c r="P14" s="31">
        <f>IFERROR(I14/I$17,"")</f>
        <v/>
      </c>
      <c r="Q14" s="31">
        <f>IFERROR(J14/J$17,"")</f>
        <v/>
      </c>
      <c r="R14" s="31">
        <f>IFERROR(K14/K$17,"")</f>
        <v/>
      </c>
      <c r="S14" s="31">
        <f>IFERROR(L14/L$17,"")</f>
        <v/>
      </c>
      <c r="T14" s="25" t="n"/>
      <c r="U14" s="54" t="n"/>
      <c r="V14" s="54" t="n"/>
      <c r="W14" s="54" t="n"/>
      <c r="X14" s="64" t="n"/>
      <c r="Y14" s="64" t="n"/>
      <c r="Z14" s="54" t="n"/>
    </row>
    <row r="15" ht="14.25" customFormat="1" customHeight="1" s="55">
      <c r="A15" s="12" t="n"/>
      <c r="B15" s="75" t="inlineStr">
        <is>
          <t>Безопасность и защита инфраструктуры</t>
        </is>
      </c>
      <c r="C15" s="76" t="n"/>
      <c r="D15" s="76" t="n"/>
      <c r="E15" s="77" t="n"/>
      <c r="F15" s="28" t="n"/>
      <c r="G15" s="29">
        <f>IF(G106&gt;0,G106,"")</f>
        <v/>
      </c>
      <c r="H15" s="29">
        <f>IF(H106&gt;0,H106,"")</f>
        <v/>
      </c>
      <c r="I15" s="29">
        <f>IF(I106&gt;0,I106,"")</f>
        <v/>
      </c>
      <c r="J15" s="29">
        <f>IF(J106&gt;0,J106,"")</f>
        <v/>
      </c>
      <c r="K15" s="29">
        <f>IF(K106&gt;0,K106,"")</f>
        <v/>
      </c>
      <c r="L15" s="29">
        <f>IF(L106&gt;0,L106,"")</f>
        <v/>
      </c>
      <c r="M15" s="25" t="n"/>
      <c r="N15" s="31">
        <f>IFERROR(G15/G$17,"")</f>
        <v/>
      </c>
      <c r="O15" s="31">
        <f>IFERROR(H15/H$17,"")</f>
        <v/>
      </c>
      <c r="P15" s="31">
        <f>IFERROR(I15/I$17,"")</f>
        <v/>
      </c>
      <c r="Q15" s="31">
        <f>IFERROR(J15/J$17,"")</f>
        <v/>
      </c>
      <c r="R15" s="31">
        <f>IFERROR(K15/K$17,"")</f>
        <v/>
      </c>
      <c r="S15" s="31">
        <f>IFERROR(L15/L$17,"")</f>
        <v/>
      </c>
      <c r="T15" s="25" t="n"/>
      <c r="U15" s="54" t="n"/>
      <c r="V15" s="54" t="n"/>
      <c r="W15" s="54" t="n"/>
      <c r="X15" s="64" t="n"/>
      <c r="Y15" s="64" t="n"/>
      <c r="Z15" s="54" t="n"/>
    </row>
    <row r="16" ht="14.25" customFormat="1" customHeight="1" s="55">
      <c r="A16" s="12" t="n"/>
      <c r="B16" s="145" t="inlineStr">
        <is>
          <t>Прочие услуги</t>
        </is>
      </c>
      <c r="C16" s="143" t="n"/>
      <c r="D16" s="143" t="n"/>
      <c r="E16" s="144" t="n"/>
      <c r="F16" s="28" t="n"/>
      <c r="G16" s="29">
        <f>IF(G118&gt;0,G118,"")</f>
        <v/>
      </c>
      <c r="H16" s="29">
        <f>IF(H118&gt;0,H118,"")</f>
        <v/>
      </c>
      <c r="I16" s="29">
        <f>IF(I118&gt;0,I118,"")</f>
        <v/>
      </c>
      <c r="J16" s="29">
        <f>IF(J118&gt;0,J118,"")</f>
        <v/>
      </c>
      <c r="K16" s="29">
        <f>IF(K118&gt;0,K118,"")</f>
        <v/>
      </c>
      <c r="L16" s="29">
        <f>IF(L118&gt;0,L118,"")</f>
        <v/>
      </c>
      <c r="M16" s="25" t="n"/>
      <c r="N16" s="31">
        <f>IFERROR(G16/G$17,"")</f>
        <v/>
      </c>
      <c r="O16" s="31">
        <f>IFERROR(H16/H$17,"")</f>
        <v/>
      </c>
      <c r="P16" s="31">
        <f>IFERROR(I16/I$17,"")</f>
        <v/>
      </c>
      <c r="Q16" s="31">
        <f>IFERROR(J16/J$17,"")</f>
        <v/>
      </c>
      <c r="R16" s="31">
        <f>IFERROR(K16/K$17,"")</f>
        <v/>
      </c>
      <c r="S16" s="31">
        <f>IFERROR(L16/L$17,"")</f>
        <v/>
      </c>
      <c r="T16" s="25" t="n"/>
      <c r="U16" s="54" t="n"/>
      <c r="V16" s="54" t="n"/>
      <c r="W16" s="54" t="n"/>
      <c r="X16" s="64" t="n"/>
      <c r="Y16" s="64" t="n"/>
      <c r="Z16" s="54" t="n"/>
    </row>
    <row r="17" ht="14.25" customFormat="1" customHeight="1" s="55">
      <c r="A17" s="12" t="n"/>
      <c r="B17" s="119" t="inlineStr">
        <is>
          <t>ВСЕГО от услуг в млн руб. без НДС</t>
        </is>
      </c>
      <c r="C17" s="143" t="n"/>
      <c r="D17" s="143" t="n"/>
      <c r="E17" s="144" t="n"/>
      <c r="F17" s="119" t="n"/>
      <c r="G17" s="53">
        <f>SUM(G11:G16)</f>
        <v/>
      </c>
      <c r="H17" s="53">
        <f>SUM(H11:H16)</f>
        <v/>
      </c>
      <c r="I17" s="53">
        <f>SUM(I11:I16)</f>
        <v/>
      </c>
      <c r="J17" s="53">
        <f>SUM(J11:J16)</f>
        <v/>
      </c>
      <c r="K17" s="53">
        <f>SUM(K11:K16)</f>
        <v/>
      </c>
      <c r="L17" s="53">
        <f>SUM(L11:L16)</f>
        <v/>
      </c>
      <c r="M17" s="25" t="n"/>
      <c r="N17" s="57">
        <f>SUM(N11:N16)</f>
        <v/>
      </c>
      <c r="O17" s="57">
        <f>SUM(O11:O16)</f>
        <v/>
      </c>
      <c r="P17" s="57">
        <f>SUM(P11:P16)</f>
        <v/>
      </c>
      <c r="Q17" s="57">
        <f>SUM(Q11:Q16)</f>
        <v/>
      </c>
      <c r="R17" s="57">
        <f>SUM(R11:R16)</f>
        <v/>
      </c>
      <c r="S17" s="57">
        <f>SUM(S11:S16)</f>
        <v/>
      </c>
      <c r="T17" s="25" t="n"/>
      <c r="U17" s="54" t="n"/>
      <c r="V17" s="54" t="n"/>
      <c r="W17" s="54" t="n"/>
      <c r="X17" s="64" t="n"/>
      <c r="Y17" s="64" t="n"/>
      <c r="Z17" s="54" t="n"/>
    </row>
    <row r="18" ht="14.25" customFormat="1" customHeight="1" s="55">
      <c r="A18" s="12" t="n"/>
      <c r="B18" s="95" t="inlineStr">
        <is>
          <t>Таблица 2</t>
        </is>
      </c>
      <c r="C18" s="143" t="n"/>
      <c r="D18" s="143" t="n"/>
      <c r="E18" s="143" t="n"/>
      <c r="F18" s="20" t="n"/>
      <c r="G18" s="52" t="inlineStr">
        <is>
          <t>итог</t>
        </is>
      </c>
      <c r="H18" s="52" t="inlineStr">
        <is>
          <t>итог</t>
        </is>
      </c>
      <c r="I18" s="52" t="inlineStr">
        <is>
          <t>итог</t>
        </is>
      </c>
      <c r="J18" s="52" t="inlineStr">
        <is>
          <t>прогноз</t>
        </is>
      </c>
      <c r="K18" s="52" t="inlineStr">
        <is>
          <t>прогноз</t>
        </is>
      </c>
      <c r="L18" s="52" t="inlineStr">
        <is>
          <t>прогноз</t>
        </is>
      </c>
      <c r="M18" s="56" t="n"/>
      <c r="N18" s="52" t="inlineStr">
        <is>
          <t>итог</t>
        </is>
      </c>
      <c r="O18" s="52" t="inlineStr">
        <is>
          <t>итог</t>
        </is>
      </c>
      <c r="P18" s="52" t="inlineStr">
        <is>
          <t>итог</t>
        </is>
      </c>
      <c r="Q18" s="52" t="inlineStr">
        <is>
          <t>прогноз</t>
        </is>
      </c>
      <c r="R18" s="52" t="inlineStr">
        <is>
          <t>прогноз</t>
        </is>
      </c>
      <c r="S18" s="52" t="inlineStr">
        <is>
          <t>прогноз</t>
        </is>
      </c>
      <c r="T18" s="5" t="n"/>
      <c r="U18" s="52" t="inlineStr">
        <is>
          <t>итог</t>
        </is>
      </c>
      <c r="V18" s="52" t="inlineStr">
        <is>
          <t>итог</t>
        </is>
      </c>
      <c r="W18" s="52" t="inlineStr">
        <is>
          <t>итог</t>
        </is>
      </c>
      <c r="X18" s="52" t="inlineStr">
        <is>
          <t>прогноз</t>
        </is>
      </c>
      <c r="Y18" s="52" t="inlineStr">
        <is>
          <t>прогноз</t>
        </is>
      </c>
      <c r="Z18" s="52" t="inlineStr">
        <is>
          <t>прогноз</t>
        </is>
      </c>
    </row>
    <row r="19" ht="14.25" customFormat="1" customHeight="1" s="55">
      <c r="A19" s="12" t="n"/>
      <c r="B19" s="122" t="inlineStr">
        <is>
          <t>Сегменты IaaS, млн руб.</t>
        </is>
      </c>
      <c r="C19" s="143" t="n"/>
      <c r="D19" s="143" t="n"/>
      <c r="E19" s="144" t="n"/>
      <c r="F19" s="113" t="inlineStr">
        <is>
          <t>Продукты</t>
        </is>
      </c>
      <c r="G19" s="13" t="n">
        <v>2025</v>
      </c>
      <c r="H19" s="13" t="inlineStr">
        <is>
          <t>1q 2026</t>
        </is>
      </c>
      <c r="I19" s="13" t="inlineStr">
        <is>
          <t>2q 2026</t>
        </is>
      </c>
      <c r="J19" s="13" t="inlineStr">
        <is>
          <t>3q 2026</t>
        </is>
      </c>
      <c r="K19" s="13" t="inlineStr">
        <is>
          <t>4q 2026</t>
        </is>
      </c>
      <c r="L19" s="13" t="n">
        <v>2026</v>
      </c>
      <c r="M19" s="5" t="n"/>
      <c r="N19" s="13" t="n">
        <v>2025</v>
      </c>
      <c r="O19" s="13" t="inlineStr">
        <is>
          <t>1q 2026</t>
        </is>
      </c>
      <c r="P19" s="13" t="inlineStr">
        <is>
          <t>2q 2026</t>
        </is>
      </c>
      <c r="Q19" s="13" t="inlineStr">
        <is>
          <t>3q 2026</t>
        </is>
      </c>
      <c r="R19" s="13" t="inlineStr">
        <is>
          <t>4q 2026</t>
        </is>
      </c>
      <c r="S19" s="13" t="n">
        <v>2026</v>
      </c>
      <c r="T19" s="5" t="n"/>
      <c r="U19" s="13" t="n">
        <v>2025</v>
      </c>
      <c r="V19" s="13" t="inlineStr">
        <is>
          <t>1q 2026</t>
        </is>
      </c>
      <c r="W19" s="13" t="inlineStr">
        <is>
          <t>2q 2026</t>
        </is>
      </c>
      <c r="X19" s="13" t="inlineStr">
        <is>
          <t>3q 2026</t>
        </is>
      </c>
      <c r="Y19" s="13" t="inlineStr">
        <is>
          <t>4q 2026</t>
        </is>
      </c>
      <c r="Z19" s="13" t="n">
        <v>2026</v>
      </c>
    </row>
    <row r="20" ht="14.25" customFormat="1" customHeight="1" s="55">
      <c r="A20" s="12" t="n"/>
      <c r="B20" s="145" t="inlineStr">
        <is>
          <t>Виртуальный ЦОД  (Public cloud)</t>
        </is>
      </c>
      <c r="C20" s="143" t="n"/>
      <c r="D20" s="143" t="n"/>
      <c r="E20" s="144" t="n"/>
      <c r="F20" s="34" t="n"/>
      <c r="G20" s="3" t="n">
        <v>402.16</v>
      </c>
      <c r="H20" s="3" t="n">
        <v>191.59</v>
      </c>
      <c r="I20" s="3" t="n">
        <v>226.94</v>
      </c>
      <c r="J20" s="66" t="n">
        <v>236.01</v>
      </c>
      <c r="K20" s="66" t="n">
        <v>245.46</v>
      </c>
      <c r="L20" s="3" t="n">
        <v>900</v>
      </c>
      <c r="M20" s="36" t="n"/>
      <c r="N20" s="26">
        <f>IFERROR(G20/G$36,"")</f>
        <v/>
      </c>
      <c r="O20" s="26">
        <f>IFERROR(H20/H$36,"")</f>
        <v/>
      </c>
      <c r="P20" s="26">
        <f>IFERROR(I20/I$36,"")</f>
        <v/>
      </c>
      <c r="Q20" s="26">
        <f>IFERROR(J20/J$36,"")</f>
        <v/>
      </c>
      <c r="R20" s="26">
        <f>IFERROR(K20/K$36,"")</f>
        <v/>
      </c>
      <c r="S20" s="26">
        <f>IFERROR(L20/L$36,"")</f>
        <v/>
      </c>
      <c r="T20" s="36" t="n"/>
      <c r="U20" s="2" t="n"/>
      <c r="V20" s="2" t="n"/>
      <c r="W20" s="2" t="n"/>
      <c r="X20" s="65" t="n"/>
      <c r="Y20" s="65" t="n"/>
      <c r="Z20" s="2" t="n"/>
    </row>
    <row r="21" ht="14.25" customFormat="1" customHeight="1" s="55">
      <c r="A21" s="12" t="n"/>
      <c r="B21" s="145" t="inlineStr">
        <is>
          <t>Частное облако на инфраструктуре провайдера (Private cloud)</t>
        </is>
      </c>
      <c r="C21" s="143" t="n"/>
      <c r="D21" s="143" t="n"/>
      <c r="E21" s="144" t="n"/>
      <c r="F21" s="34" t="n"/>
      <c r="G21" s="3" t="n">
        <v>46.46000000000001</v>
      </c>
      <c r="H21" s="3" t="n">
        <v>25.55</v>
      </c>
      <c r="I21" s="3" t="n">
        <v>30.26</v>
      </c>
      <c r="J21" s="66" t="n">
        <v>31.47</v>
      </c>
      <c r="K21" s="66" t="n">
        <v>32.72</v>
      </c>
      <c r="L21" s="3" t="n">
        <v>120</v>
      </c>
      <c r="M21" s="36" t="n"/>
      <c r="N21" s="26">
        <f>IFERROR(G21/G$36,"")</f>
        <v/>
      </c>
      <c r="O21" s="26">
        <f>IFERROR(H21/H$36,"")</f>
        <v/>
      </c>
      <c r="P21" s="26">
        <f>IFERROR(I21/I$36,"")</f>
        <v/>
      </c>
      <c r="Q21" s="26">
        <f>IFERROR(J21/J$36,"")</f>
        <v/>
      </c>
      <c r="R21" s="26">
        <f>IFERROR(K21/K$36,"")</f>
        <v/>
      </c>
      <c r="S21" s="26">
        <f>IFERROR(L21/L$36,"")</f>
        <v/>
      </c>
      <c r="T21" s="36" t="n"/>
      <c r="U21" s="2" t="n"/>
      <c r="V21" s="2" t="n"/>
      <c r="W21" s="2" t="n"/>
      <c r="X21" s="65" t="n"/>
      <c r="Y21" s="65" t="n"/>
      <c r="Z21" s="2" t="n"/>
    </row>
    <row r="22" ht="14.25" customFormat="1" customHeight="1" s="55">
      <c r="A22" s="12" t="n"/>
      <c r="B22" s="145" t="inlineStr">
        <is>
          <t xml:space="preserve">Частные виртуальные серверы (VPS/VDS) </t>
        </is>
      </c>
      <c r="C22" s="143" t="n"/>
      <c r="D22" s="143" t="n"/>
      <c r="E22" s="144" t="n"/>
      <c r="F22" s="34" t="n"/>
      <c r="G22" s="3" t="n">
        <v>62.95</v>
      </c>
      <c r="H22" s="3" t="n">
        <v>17.03</v>
      </c>
      <c r="I22" s="3" t="n">
        <v>20.17</v>
      </c>
      <c r="J22" s="66" t="n">
        <v>20.98</v>
      </c>
      <c r="K22" s="66" t="n">
        <v>21.82</v>
      </c>
      <c r="L22" s="3" t="n">
        <v>80</v>
      </c>
      <c r="M22" s="36" t="n"/>
      <c r="N22" s="26">
        <f>IFERROR(G22/G$36,"")</f>
        <v/>
      </c>
      <c r="O22" s="26">
        <f>IFERROR(H22/H$36,"")</f>
        <v/>
      </c>
      <c r="P22" s="26">
        <f>IFERROR(I22/I$36,"")</f>
        <v/>
      </c>
      <c r="Q22" s="26">
        <f>IFERROR(J22/J$36,"")</f>
        <v/>
      </c>
      <c r="R22" s="26">
        <f>IFERROR(K22/K$36,"")</f>
        <v/>
      </c>
      <c r="S22" s="26">
        <f>IFERROR(L22/L$36,"")</f>
        <v/>
      </c>
      <c r="T22" s="36" t="n"/>
      <c r="U22" s="2" t="n"/>
      <c r="V22" s="2" t="n"/>
      <c r="W22" s="2" t="n"/>
      <c r="X22" s="65" t="n"/>
      <c r="Y22" s="65" t="n"/>
      <c r="Z22" s="2" t="n"/>
    </row>
    <row r="23" ht="14.25" customFormat="1" customHeight="1" s="55">
      <c r="A23" s="12" t="n"/>
      <c r="B23" s="145" t="inlineStr">
        <is>
          <t>Аренда серверов с GPU (графическими ускорителями)</t>
        </is>
      </c>
      <c r="C23" s="143" t="n"/>
      <c r="D23" s="143" t="n"/>
      <c r="E23" s="144" t="n"/>
      <c r="F23" s="34" t="n"/>
      <c r="G23" s="3" t="n">
        <v>79.42999999999999</v>
      </c>
      <c r="H23" s="3" t="n">
        <v>59.61</v>
      </c>
      <c r="I23" s="3" t="n">
        <v>70.59999999999999</v>
      </c>
      <c r="J23" s="66" t="n">
        <v>73.43000000000001</v>
      </c>
      <c r="K23" s="66" t="n">
        <v>76.36</v>
      </c>
      <c r="L23" s="3" t="n">
        <v>280</v>
      </c>
      <c r="M23" s="36" t="n"/>
      <c r="N23" s="26">
        <f>IFERROR(G23/G$36,"")</f>
        <v/>
      </c>
      <c r="O23" s="26">
        <f>IFERROR(H23/H$36,"")</f>
        <v/>
      </c>
      <c r="P23" s="26">
        <f>IFERROR(I23/I$36,"")</f>
        <v/>
      </c>
      <c r="Q23" s="26">
        <f>IFERROR(J23/J$36,"")</f>
        <v/>
      </c>
      <c r="R23" s="26">
        <f>IFERROR(K23/K$36,"")</f>
        <v/>
      </c>
      <c r="S23" s="26">
        <f>IFERROR(L23/L$36,"")</f>
        <v/>
      </c>
      <c r="T23" s="36" t="n"/>
      <c r="U23" s="2" t="n"/>
      <c r="V23" s="2" t="n"/>
      <c r="W23" s="2" t="n"/>
      <c r="X23" s="65" t="n"/>
      <c r="Y23" s="65" t="n"/>
      <c r="Z23" s="2" t="n"/>
    </row>
    <row r="24" ht="14.25" customFormat="1" customHeight="1" s="55">
      <c r="A24" s="12" t="n"/>
      <c r="B24" s="145" t="inlineStr">
        <is>
          <t>Объектное хранилище S3</t>
        </is>
      </c>
      <c r="C24" s="143" t="n"/>
      <c r="D24" s="143" t="n"/>
      <c r="E24" s="144" t="n"/>
      <c r="F24" s="34" t="n"/>
      <c r="G24" s="3" t="n">
        <v>43.34</v>
      </c>
      <c r="H24" s="3" t="n">
        <v>21.29</v>
      </c>
      <c r="I24" s="3" t="n">
        <v>25.22</v>
      </c>
      <c r="J24" s="66" t="n">
        <v>26.22</v>
      </c>
      <c r="K24" s="66" t="n">
        <v>27.27</v>
      </c>
      <c r="L24" s="3" t="n">
        <v>100</v>
      </c>
      <c r="M24" s="36" t="n"/>
      <c r="N24" s="26">
        <f>IFERROR(G24/G$36,"")</f>
        <v/>
      </c>
      <c r="O24" s="26">
        <f>IFERROR(H24/H$36,"")</f>
        <v/>
      </c>
      <c r="P24" s="26">
        <f>IFERROR(I24/I$36,"")</f>
        <v/>
      </c>
      <c r="Q24" s="26">
        <f>IFERROR(J24/J$36,"")</f>
        <v/>
      </c>
      <c r="R24" s="26">
        <f>IFERROR(K24/K$36,"")</f>
        <v/>
      </c>
      <c r="S24" s="26">
        <f>IFERROR(L24/L$36,"")</f>
        <v/>
      </c>
      <c r="T24" s="36" t="n"/>
      <c r="U24" s="2" t="n"/>
      <c r="V24" s="2" t="n"/>
      <c r="W24" s="2" t="n"/>
      <c r="X24" s="65" t="n"/>
      <c r="Y24" s="65" t="n"/>
      <c r="Z24" s="2" t="n"/>
    </row>
    <row r="25" ht="14.25" customFormat="1" customHeight="1" s="55">
      <c r="A25" s="12" t="n"/>
      <c r="B25" s="145" t="inlineStr">
        <is>
          <t>Резервное хранение (Backup as a Service)</t>
        </is>
      </c>
      <c r="C25" s="143" t="n"/>
      <c r="D25" s="143" t="n"/>
      <c r="E25" s="144" t="n"/>
      <c r="F25" s="34" t="n"/>
      <c r="G25" s="3" t="n">
        <v>45.46000000000001</v>
      </c>
      <c r="H25" s="3" t="n">
        <v>10.64</v>
      </c>
      <c r="I25" s="3" t="n">
        <v>12.61</v>
      </c>
      <c r="J25" s="66" t="n">
        <v>13.11</v>
      </c>
      <c r="K25" s="66" t="n">
        <v>13.64</v>
      </c>
      <c r="L25" s="3" t="n">
        <v>50</v>
      </c>
      <c r="M25" s="36" t="n"/>
      <c r="N25" s="26">
        <f>IFERROR(G25/G$36,"")</f>
        <v/>
      </c>
      <c r="O25" s="26">
        <f>IFERROR(H25/H$36,"")</f>
        <v/>
      </c>
      <c r="P25" s="26">
        <f>IFERROR(I25/I$36,"")</f>
        <v/>
      </c>
      <c r="Q25" s="26">
        <f>IFERROR(J25/J$36,"")</f>
        <v/>
      </c>
      <c r="R25" s="26">
        <f>IFERROR(K25/K$36,"")</f>
        <v/>
      </c>
      <c r="S25" s="26">
        <f>IFERROR(L25/L$36,"")</f>
        <v/>
      </c>
      <c r="T25" s="36" t="n"/>
      <c r="U25" s="2" t="n"/>
      <c r="V25" s="2" t="n"/>
      <c r="W25" s="2" t="n"/>
      <c r="X25" s="65" t="n"/>
      <c r="Y25" s="65" t="n"/>
      <c r="Z25" s="2" t="n"/>
    </row>
    <row r="26" ht="14.25" customFormat="1" customHeight="1" s="55">
      <c r="A26" s="12" t="n"/>
      <c r="B26" s="145" t="inlineStr">
        <is>
          <t>DRaaS (Disaster Recovery)</t>
        </is>
      </c>
      <c r="C26" s="143" t="n"/>
      <c r="D26" s="143" t="n"/>
      <c r="E26" s="144" t="n"/>
      <c r="F26" s="34" t="n"/>
      <c r="G26" s="3" t="n">
        <v>15.49</v>
      </c>
      <c r="H26" s="3" t="n">
        <v>6.39</v>
      </c>
      <c r="I26" s="3" t="n">
        <v>7.56</v>
      </c>
      <c r="J26" s="66" t="n">
        <v>7.87</v>
      </c>
      <c r="K26" s="66" t="n">
        <v>8.18</v>
      </c>
      <c r="L26" s="3" t="n">
        <v>30</v>
      </c>
      <c r="M26" s="36" t="n"/>
      <c r="N26" s="26">
        <f>IFERROR(G26/G$36,"")</f>
        <v/>
      </c>
      <c r="O26" s="26">
        <f>IFERROR(H26/H$36,"")</f>
        <v/>
      </c>
      <c r="P26" s="26">
        <f>IFERROR(I26/I$36,"")</f>
        <v/>
      </c>
      <c r="Q26" s="26">
        <f>IFERROR(J26/J$36,"")</f>
        <v/>
      </c>
      <c r="R26" s="26">
        <f>IFERROR(K26/K$36,"")</f>
        <v/>
      </c>
      <c r="S26" s="26">
        <f>IFERROR(L26/L$36,"")</f>
        <v/>
      </c>
      <c r="T26" s="36" t="n"/>
      <c r="U26" s="2" t="n"/>
      <c r="V26" s="2" t="n"/>
      <c r="W26" s="2" t="n"/>
      <c r="X26" s="65" t="n"/>
      <c r="Y26" s="65" t="n"/>
      <c r="Z26" s="2" t="n"/>
    </row>
    <row r="27" ht="14.25" customFormat="1" customHeight="1" s="55">
      <c r="A27" s="12" t="n"/>
      <c r="B27" s="145" t="inlineStr">
        <is>
          <t>VDI (вкл. Managed Workspaces)</t>
        </is>
      </c>
      <c r="C27" s="143" t="n"/>
      <c r="D27" s="143" t="n"/>
      <c r="E27" s="144" t="n"/>
      <c r="F27" s="34" t="n"/>
      <c r="G27" s="3" t="n">
        <v>5.680000000000001</v>
      </c>
      <c r="H27" s="3" t="n">
        <v>2.13</v>
      </c>
      <c r="I27" s="3" t="n">
        <v>2.52</v>
      </c>
      <c r="J27" s="66" t="n">
        <v>2.62</v>
      </c>
      <c r="K27" s="66" t="n">
        <v>2.73</v>
      </c>
      <c r="L27" s="3" t="n">
        <v>10</v>
      </c>
      <c r="M27" s="36" t="n"/>
      <c r="N27" s="26">
        <f>IFERROR(G27/G$36,"")</f>
        <v/>
      </c>
      <c r="O27" s="26">
        <f>IFERROR(H27/H$36,"")</f>
        <v/>
      </c>
      <c r="P27" s="26">
        <f>IFERROR(I27/I$36,"")</f>
        <v/>
      </c>
      <c r="Q27" s="26">
        <f>IFERROR(J27/J$36,"")</f>
        <v/>
      </c>
      <c r="R27" s="26">
        <f>IFERROR(K27/K$36,"")</f>
        <v/>
      </c>
      <c r="S27" s="26">
        <f>IFERROR(L27/L$36,"")</f>
        <v/>
      </c>
      <c r="T27" s="36" t="n"/>
      <c r="U27" s="2" t="n"/>
      <c r="V27" s="2" t="n"/>
      <c r="W27" s="2" t="n"/>
      <c r="X27" s="65" t="n"/>
      <c r="Y27" s="65" t="n"/>
      <c r="Z27" s="2" t="n"/>
    </row>
    <row r="28" ht="14.25" customFormat="1" customHeight="1" s="55">
      <c r="A28" s="12" t="n"/>
      <c r="B28" s="145" t="inlineStr">
        <is>
          <t>Лицензии на серверы и ОС / SPLA</t>
        </is>
      </c>
      <c r="C28" s="143" t="n"/>
      <c r="D28" s="143" t="n"/>
      <c r="E28" s="144" t="n"/>
      <c r="F28" s="34" t="n"/>
      <c r="G28" s="3" t="n">
        <v>2.99</v>
      </c>
      <c r="H28" s="3" t="n">
        <v>10.64</v>
      </c>
      <c r="I28" s="3" t="n">
        <v>12.61</v>
      </c>
      <c r="J28" s="66" t="n">
        <v>13.11</v>
      </c>
      <c r="K28" s="66" t="n">
        <v>13.64</v>
      </c>
      <c r="L28" s="3" t="n">
        <v>50</v>
      </c>
      <c r="M28" s="36" t="n"/>
      <c r="N28" s="26">
        <f>IFERROR(G28/G$36,"")</f>
        <v/>
      </c>
      <c r="O28" s="26">
        <f>IFERROR(H28/H$36,"")</f>
        <v/>
      </c>
      <c r="P28" s="26">
        <f>IFERROR(I28/I$36,"")</f>
        <v/>
      </c>
      <c r="Q28" s="26">
        <f>IFERROR(J28/J$36,"")</f>
        <v/>
      </c>
      <c r="R28" s="26">
        <f>IFERROR(K28/K$36,"")</f>
        <v/>
      </c>
      <c r="S28" s="26">
        <f>IFERROR(L28/L$36,"")</f>
        <v/>
      </c>
      <c r="T28" s="36" t="n"/>
      <c r="U28" s="2" t="n"/>
      <c r="V28" s="2" t="n"/>
      <c r="W28" s="2" t="n"/>
      <c r="X28" s="65" t="n"/>
      <c r="Y28" s="65" t="n"/>
      <c r="Z28" s="2" t="n"/>
    </row>
    <row r="29" ht="14.25" customFormat="1" customHeight="1" s="55">
      <c r="A29" s="12" t="n"/>
      <c r="B29" s="145" t="inlineStr">
        <is>
          <t>Облако 152-ФЗ как отдельная услуга</t>
        </is>
      </c>
      <c r="C29" s="143" t="n"/>
      <c r="D29" s="143" t="n"/>
      <c r="E29" s="144" t="n"/>
      <c r="F29" s="34" t="n"/>
      <c r="G29" s="3" t="n">
        <v>390.16</v>
      </c>
      <c r="H29" s="3" t="n">
        <v>74.51000000000001</v>
      </c>
      <c r="I29" s="3" t="n">
        <v>88.25</v>
      </c>
      <c r="J29" s="66" t="n">
        <v>91.78</v>
      </c>
      <c r="K29" s="66" t="n">
        <v>95.45999999999999</v>
      </c>
      <c r="L29" s="3" t="n">
        <v>350</v>
      </c>
      <c r="M29" s="36" t="n"/>
      <c r="N29" s="26">
        <f>IFERROR(G29/G$36,"")</f>
        <v/>
      </c>
      <c r="O29" s="26">
        <f>IFERROR(H29/H$36,"")</f>
        <v/>
      </c>
      <c r="P29" s="26">
        <f>IFERROR(I29/I$36,"")</f>
        <v/>
      </c>
      <c r="Q29" s="26">
        <f>IFERROR(J29/J$36,"")</f>
        <v/>
      </c>
      <c r="R29" s="26">
        <f>IFERROR(K29/K$36,"")</f>
        <v/>
      </c>
      <c r="S29" s="26">
        <f>IFERROR(L29/L$36,"")</f>
        <v/>
      </c>
      <c r="T29" s="36" t="n"/>
      <c r="U29" s="2" t="n"/>
      <c r="V29" s="2" t="n"/>
      <c r="W29" s="2" t="n"/>
      <c r="X29" s="65" t="n"/>
      <c r="Y29" s="65" t="n"/>
      <c r="Z29" s="2" t="n"/>
    </row>
    <row r="30" ht="14.25" customFormat="1" customHeight="1" s="55">
      <c r="A30" s="12" t="n"/>
      <c r="B30" s="75" t="inlineStr">
        <is>
          <t>КИИ облако - как отдельная услуга</t>
        </is>
      </c>
      <c r="C30" s="76" t="n"/>
      <c r="D30" s="76" t="n"/>
      <c r="E30" s="77" t="n"/>
      <c r="F30" s="34" t="n"/>
      <c r="G30" s="3" t="n">
        <v>5.680000000000001</v>
      </c>
      <c r="H30" s="3" t="n">
        <v>2.13</v>
      </c>
      <c r="I30" s="3" t="n">
        <v>2.52</v>
      </c>
      <c r="J30" s="66" t="n">
        <v>2.62</v>
      </c>
      <c r="K30" s="66" t="n">
        <v>2.73</v>
      </c>
      <c r="L30" s="3" t="n">
        <v>10</v>
      </c>
      <c r="M30" s="36" t="n"/>
      <c r="N30" s="26">
        <f>IFERROR(G30/G$36,"")</f>
        <v/>
      </c>
      <c r="O30" s="26">
        <f>IFERROR(H30/H$36,"")</f>
        <v/>
      </c>
      <c r="P30" s="26">
        <f>IFERROR(I30/I$36,"")</f>
        <v/>
      </c>
      <c r="Q30" s="26">
        <f>IFERROR(J30/J$36,"")</f>
        <v/>
      </c>
      <c r="R30" s="26">
        <f>IFERROR(K30/K$36,"")</f>
        <v/>
      </c>
      <c r="S30" s="26">
        <f>IFERROR(L30/L$36,"")</f>
        <v/>
      </c>
      <c r="T30" s="36" t="n"/>
      <c r="U30" s="2" t="n"/>
      <c r="V30" s="2" t="n"/>
      <c r="W30" s="2" t="n"/>
      <c r="X30" s="65" t="n"/>
      <c r="Y30" s="65" t="n"/>
      <c r="Z30" s="2" t="n"/>
    </row>
    <row r="31" ht="14.25" customFormat="1" customHeight="1" s="55">
      <c r="A31" s="12" t="n"/>
      <c r="B31" s="145" t="inlineStr">
        <is>
          <t>Серверы Bare Metal без GPU</t>
        </is>
      </c>
      <c r="C31" s="143" t="n"/>
      <c r="D31" s="143" t="n"/>
      <c r="E31" s="144" t="n"/>
      <c r="F31" s="34" t="n"/>
      <c r="G31" s="3" t="n">
        <v>10.66</v>
      </c>
      <c r="H31" s="3" t="n">
        <v>4.26</v>
      </c>
      <c r="I31" s="3" t="n">
        <v>5.04</v>
      </c>
      <c r="J31" s="66" t="n">
        <v>5.24</v>
      </c>
      <c r="K31" s="66" t="n">
        <v>5.46</v>
      </c>
      <c r="L31" s="3" t="n">
        <v>20</v>
      </c>
      <c r="M31" s="36" t="n"/>
      <c r="N31" s="26">
        <f>IFERROR(G31/G$36,"")</f>
        <v/>
      </c>
      <c r="O31" s="26">
        <f>IFERROR(H31/H$36,"")</f>
        <v/>
      </c>
      <c r="P31" s="26">
        <f>IFERROR(I31/I$36,"")</f>
        <v/>
      </c>
      <c r="Q31" s="26">
        <f>IFERROR(J31/J$36,"")</f>
        <v/>
      </c>
      <c r="R31" s="26">
        <f>IFERROR(K31/K$36,"")</f>
        <v/>
      </c>
      <c r="S31" s="26">
        <f>IFERROR(L31/L$36,"")</f>
        <v/>
      </c>
      <c r="T31" s="36" t="n"/>
      <c r="U31" s="2" t="n"/>
      <c r="V31" s="2" t="n"/>
      <c r="W31" s="2" t="n"/>
      <c r="X31" s="65" t="n"/>
      <c r="Y31" s="65" t="n"/>
      <c r="Z31" s="2" t="n"/>
    </row>
    <row r="32" ht="14.25" customFormat="1" customHeight="1" s="55">
      <c r="A32" s="12" t="n"/>
      <c r="B32" s="145" t="inlineStr">
        <is>
          <t>Серверы Bare Metal c GPU</t>
        </is>
      </c>
      <c r="C32" s="143" t="n"/>
      <c r="D32" s="143" t="n"/>
      <c r="E32" s="144" t="n"/>
      <c r="F32" s="34" t="n"/>
      <c r="G32" s="3" t="n">
        <v>21.31</v>
      </c>
      <c r="H32" s="3" t="n">
        <v>8.52</v>
      </c>
      <c r="I32" s="3" t="n">
        <v>10.09</v>
      </c>
      <c r="J32" s="66" t="n">
        <v>10.49</v>
      </c>
      <c r="K32" s="66" t="n">
        <v>10.9</v>
      </c>
      <c r="L32" s="3" t="n">
        <v>40</v>
      </c>
      <c r="M32" s="36" t="n"/>
      <c r="N32" s="26">
        <f>IFERROR(G32/G$36,"")</f>
        <v/>
      </c>
      <c r="O32" s="26">
        <f>IFERROR(H32/H$36,"")</f>
        <v/>
      </c>
      <c r="P32" s="26">
        <f>IFERROR(I32/I$36,"")</f>
        <v/>
      </c>
      <c r="Q32" s="26">
        <f>IFERROR(J32/J$36,"")</f>
        <v/>
      </c>
      <c r="R32" s="26">
        <f>IFERROR(K32/K$36,"")</f>
        <v/>
      </c>
      <c r="S32" s="26">
        <f>IFERROR(L32/L$36,"")</f>
        <v/>
      </c>
      <c r="T32" s="36" t="n"/>
      <c r="U32" s="2" t="n"/>
      <c r="V32" s="2" t="n"/>
      <c r="W32" s="2" t="n"/>
      <c r="X32" s="65" t="n"/>
      <c r="Y32" s="65" t="n"/>
      <c r="Z32" s="2" t="n"/>
    </row>
    <row r="33" ht="14.25" customFormat="1" customHeight="1" s="55">
      <c r="A33" s="12" t="n"/>
      <c r="B33" s="145" t="inlineStr">
        <is>
          <t>Продажа услуг IaaS российских облачных провайдеров</t>
        </is>
      </c>
      <c r="C33" s="143" t="n"/>
      <c r="D33" s="143" t="n"/>
      <c r="E33" s="144" t="n"/>
      <c r="F33" s="34" t="n"/>
      <c r="G33" s="3" t="n">
        <v>0</v>
      </c>
      <c r="H33" s="3" t="n">
        <v>0</v>
      </c>
      <c r="I33" s="3" t="n">
        <v>0</v>
      </c>
      <c r="J33" s="66" t="n">
        <v>0</v>
      </c>
      <c r="K33" s="66" t="n">
        <v>0</v>
      </c>
      <c r="L33" s="3">
        <f>SUM(H33:K33)</f>
        <v/>
      </c>
      <c r="M33" s="36" t="n"/>
      <c r="N33" s="26">
        <f>IFERROR(G33/G$36,"")</f>
        <v/>
      </c>
      <c r="O33" s="26">
        <f>IFERROR(H33/H$36,"")</f>
        <v/>
      </c>
      <c r="P33" s="26">
        <f>IFERROR(I33/I$36,"")</f>
        <v/>
      </c>
      <c r="Q33" s="26">
        <f>IFERROR(J33/J$36,"")</f>
        <v/>
      </c>
      <c r="R33" s="26">
        <f>IFERROR(K33/K$36,"")</f>
        <v/>
      </c>
      <c r="S33" s="26">
        <f>IFERROR(L33/L$36,"")</f>
        <v/>
      </c>
      <c r="T33" s="36" t="n"/>
      <c r="U33" s="2" t="n"/>
      <c r="V33" s="2" t="n"/>
      <c r="W33" s="2" t="n"/>
      <c r="X33" s="65" t="n"/>
      <c r="Y33" s="65" t="n"/>
      <c r="Z33" s="2" t="n"/>
    </row>
    <row r="34" ht="14.25" customFormat="1" customHeight="1" s="55">
      <c r="A34" s="12" t="n"/>
      <c r="B34" s="145" t="inlineStr">
        <is>
          <t>Продажа услуг IaaS зарубежных гиперскейлеров</t>
        </is>
      </c>
      <c r="C34" s="143" t="n"/>
      <c r="D34" s="143" t="n"/>
      <c r="E34" s="144" t="n"/>
      <c r="F34" s="34" t="n"/>
      <c r="G34" s="3" t="n">
        <v>0</v>
      </c>
      <c r="H34" s="3" t="n">
        <v>0</v>
      </c>
      <c r="I34" s="3" t="n">
        <v>0</v>
      </c>
      <c r="J34" s="66" t="n">
        <v>0</v>
      </c>
      <c r="K34" s="66" t="n">
        <v>0</v>
      </c>
      <c r="L34" s="3">
        <f>SUM(H34:K34)</f>
        <v/>
      </c>
      <c r="M34" s="36" t="n"/>
      <c r="N34" s="26">
        <f>IFERROR(G34/G$36,"")</f>
        <v/>
      </c>
      <c r="O34" s="26">
        <f>IFERROR(H34/H$36,"")</f>
        <v/>
      </c>
      <c r="P34" s="26">
        <f>IFERROR(I34/I$36,"")</f>
        <v/>
      </c>
      <c r="Q34" s="26">
        <f>IFERROR(J34/J$36,"")</f>
        <v/>
      </c>
      <c r="R34" s="26">
        <f>IFERROR(K34/K$36,"")</f>
        <v/>
      </c>
      <c r="S34" s="26">
        <f>IFERROR(L34/L$36,"")</f>
        <v/>
      </c>
      <c r="T34" s="36" t="n"/>
      <c r="U34" s="2" t="n"/>
      <c r="V34" s="2" t="n"/>
      <c r="W34" s="2" t="n"/>
      <c r="X34" s="65" t="n"/>
      <c r="Y34" s="65" t="n"/>
      <c r="Z34" s="2" t="n"/>
    </row>
    <row r="35" ht="14.25" customFormat="1" customHeight="1" s="55">
      <c r="A35" s="12" t="n"/>
      <c r="B35" s="146" t="inlineStr">
        <is>
          <t>Другое, укажите что</t>
        </is>
      </c>
      <c r="C35" s="144" t="n"/>
      <c r="D35" s="120" t="n"/>
      <c r="E35" s="139" t="n"/>
      <c r="F35" s="120" t="n"/>
      <c r="G35" s="3" t="n">
        <v>0</v>
      </c>
      <c r="H35" s="3" t="n">
        <v>0</v>
      </c>
      <c r="I35" s="3" t="n">
        <v>0</v>
      </c>
      <c r="J35" s="66" t="n">
        <v>0</v>
      </c>
      <c r="K35" s="66" t="n">
        <v>0</v>
      </c>
      <c r="L35" s="3">
        <f>SUM(H35:K35)</f>
        <v/>
      </c>
      <c r="M35" s="36" t="n"/>
      <c r="N35" s="26">
        <f>IFERROR(G35/G$36,"")</f>
        <v/>
      </c>
      <c r="O35" s="26">
        <f>IFERROR(H35/H$36,"")</f>
        <v/>
      </c>
      <c r="P35" s="26">
        <f>IFERROR(I35/I$36,"")</f>
        <v/>
      </c>
      <c r="Q35" s="26">
        <f>IFERROR(J35/J$36,"")</f>
        <v/>
      </c>
      <c r="R35" s="26">
        <f>IFERROR(K35/K$36,"")</f>
        <v/>
      </c>
      <c r="S35" s="26">
        <f>IFERROR(L35/L$36,"")</f>
        <v/>
      </c>
      <c r="T35" s="36" t="n"/>
      <c r="U35" s="2" t="n"/>
      <c r="V35" s="2" t="n"/>
      <c r="W35" s="2" t="n"/>
      <c r="X35" s="65" t="n"/>
      <c r="Y35" s="65" t="n"/>
      <c r="Z35" s="2" t="n"/>
    </row>
    <row r="36" ht="14.25" customFormat="1" customHeight="1" s="55">
      <c r="A36" s="12" t="n"/>
      <c r="B36" s="119" t="inlineStr">
        <is>
          <t>Всего 100% от выручки IaaS</t>
        </is>
      </c>
      <c r="C36" s="143" t="n"/>
      <c r="D36" s="143" t="n"/>
      <c r="E36" s="144" t="n"/>
      <c r="F36" s="87" t="n"/>
      <c r="G36" s="7">
        <f>SUM(G20:G35)</f>
        <v/>
      </c>
      <c r="H36" s="7">
        <f>SUM(H20:H35)</f>
        <v/>
      </c>
      <c r="I36" s="7">
        <f>SUM(I20:I35)</f>
        <v/>
      </c>
      <c r="J36" s="7">
        <f>SUM(J20:J35)</f>
        <v/>
      </c>
      <c r="K36" s="7">
        <f>SUM(K20:K35)</f>
        <v/>
      </c>
      <c r="L36" s="7">
        <f>SUM(L20:L35)</f>
        <v/>
      </c>
      <c r="M36" s="5" t="n"/>
      <c r="N36" s="57">
        <f>SUM(N20:N35)</f>
        <v/>
      </c>
      <c r="O36" s="57">
        <f>SUM(O20:O35)</f>
        <v/>
      </c>
      <c r="P36" s="57">
        <f>SUM(P20:P35)</f>
        <v/>
      </c>
      <c r="Q36" s="57">
        <f>SUM(Q20:Q35)</f>
        <v/>
      </c>
      <c r="R36" s="57">
        <f>SUM(R20:R35)</f>
        <v/>
      </c>
      <c r="S36" s="57">
        <f>SUM(S20:S35)</f>
        <v/>
      </c>
      <c r="T36" s="5" t="n"/>
      <c r="U36" s="32" t="n"/>
      <c r="V36" s="32" t="n"/>
      <c r="W36" s="32" t="n"/>
      <c r="X36" s="32" t="n"/>
      <c r="Y36" s="32" t="n"/>
      <c r="Z36" s="32" t="n"/>
    </row>
    <row r="37" ht="14.25" customFormat="1" customHeight="1" s="55">
      <c r="A37" s="12" t="n"/>
      <c r="B37" s="95" t="inlineStr">
        <is>
          <t>Таблица 3</t>
        </is>
      </c>
      <c r="C37" s="143" t="n"/>
      <c r="D37" s="143" t="n"/>
      <c r="E37" s="143" t="n"/>
      <c r="F37" s="20" t="n"/>
      <c r="G37" s="52" t="inlineStr">
        <is>
          <t>итог</t>
        </is>
      </c>
      <c r="H37" s="52" t="inlineStr">
        <is>
          <t>итог</t>
        </is>
      </c>
      <c r="I37" s="52" t="inlineStr">
        <is>
          <t>итог</t>
        </is>
      </c>
      <c r="J37" s="52" t="inlineStr">
        <is>
          <t>прогноз</t>
        </is>
      </c>
      <c r="K37" s="52" t="inlineStr">
        <is>
          <t>прогноз</t>
        </is>
      </c>
      <c r="L37" s="52" t="inlineStr">
        <is>
          <t>прогноз</t>
        </is>
      </c>
      <c r="M37" s="6" t="n"/>
      <c r="N37" s="52" t="inlineStr">
        <is>
          <t>итог</t>
        </is>
      </c>
      <c r="O37" s="52" t="inlineStr">
        <is>
          <t>итог</t>
        </is>
      </c>
      <c r="P37" s="52" t="inlineStr">
        <is>
          <t>итог</t>
        </is>
      </c>
      <c r="Q37" s="52" t="inlineStr">
        <is>
          <t>прогноз</t>
        </is>
      </c>
      <c r="R37" s="52" t="inlineStr">
        <is>
          <t>прогноз</t>
        </is>
      </c>
      <c r="S37" s="52" t="inlineStr">
        <is>
          <t>прогноз</t>
        </is>
      </c>
      <c r="T37" s="5" t="n"/>
      <c r="U37" s="52" t="inlineStr">
        <is>
          <t>итог</t>
        </is>
      </c>
      <c r="V37" s="52" t="inlineStr">
        <is>
          <t>итог</t>
        </is>
      </c>
      <c r="W37" s="52" t="inlineStr">
        <is>
          <t>итог</t>
        </is>
      </c>
      <c r="X37" s="52" t="inlineStr">
        <is>
          <t>прогноз</t>
        </is>
      </c>
      <c r="Y37" s="52" t="inlineStr">
        <is>
          <t>прогноз</t>
        </is>
      </c>
      <c r="Z37" s="52" t="inlineStr">
        <is>
          <t>прогноз</t>
        </is>
      </c>
    </row>
    <row r="38" ht="14.25" customFormat="1" customHeight="1" s="55">
      <c r="A38" s="12" t="n"/>
      <c r="B38" s="122" t="inlineStr">
        <is>
          <t>Сегменты РaaS, млн руб.</t>
        </is>
      </c>
      <c r="C38" s="143" t="n"/>
      <c r="D38" s="143" t="n"/>
      <c r="E38" s="144" t="n"/>
      <c r="F38" s="113" t="inlineStr">
        <is>
          <t>Продукты</t>
        </is>
      </c>
      <c r="G38" s="13" t="n">
        <v>2025</v>
      </c>
      <c r="H38" s="13" t="inlineStr">
        <is>
          <t>1q 2026</t>
        </is>
      </c>
      <c r="I38" s="13" t="inlineStr">
        <is>
          <t>2q 2026</t>
        </is>
      </c>
      <c r="J38" s="13" t="inlineStr">
        <is>
          <t>3q 2026</t>
        </is>
      </c>
      <c r="K38" s="13" t="inlineStr">
        <is>
          <t>4q 2026</t>
        </is>
      </c>
      <c r="L38" s="13" t="n">
        <v>2026</v>
      </c>
      <c r="M38" s="5" t="n"/>
      <c r="N38" s="13" t="n">
        <v>2025</v>
      </c>
      <c r="O38" s="13" t="inlineStr">
        <is>
          <t>1q 2026</t>
        </is>
      </c>
      <c r="P38" s="13" t="inlineStr">
        <is>
          <t>2q 2026</t>
        </is>
      </c>
      <c r="Q38" s="13" t="inlineStr">
        <is>
          <t>3q 2026</t>
        </is>
      </c>
      <c r="R38" s="13" t="inlineStr">
        <is>
          <t>4q 2026</t>
        </is>
      </c>
      <c r="S38" s="13" t="n">
        <v>2026</v>
      </c>
      <c r="T38" s="5" t="n"/>
      <c r="U38" s="13" t="n">
        <v>2025</v>
      </c>
      <c r="V38" s="13" t="inlineStr">
        <is>
          <t>1q 2026</t>
        </is>
      </c>
      <c r="W38" s="13" t="inlineStr">
        <is>
          <t>2q 2026</t>
        </is>
      </c>
      <c r="X38" s="13" t="inlineStr">
        <is>
          <t>3q 2026</t>
        </is>
      </c>
      <c r="Y38" s="13" t="inlineStr">
        <is>
          <t>4q 2026</t>
        </is>
      </c>
      <c r="Z38" s="13" t="n">
        <v>2026</v>
      </c>
    </row>
    <row r="39" ht="14.25" customFormat="1" customHeight="1" s="55">
      <c r="A39" s="12" t="n"/>
      <c r="B39" s="145" t="inlineStr">
        <is>
          <t xml:space="preserve">Управление контейнерами (включая Kubernetes) </t>
        </is>
      </c>
      <c r="C39" s="143" t="n"/>
      <c r="D39" s="143" t="n"/>
      <c r="E39" s="144" t="n"/>
      <c r="F39" s="34" t="n"/>
      <c r="G39" s="3" t="n">
        <v>2.79</v>
      </c>
      <c r="H39" s="3" t="n">
        <v>2.13</v>
      </c>
      <c r="I39" s="3" t="n">
        <v>2.52</v>
      </c>
      <c r="J39" s="66" t="n">
        <v>2.62</v>
      </c>
      <c r="K39" s="66" t="n">
        <v>2.73</v>
      </c>
      <c r="L39" s="3" t="n">
        <v>10</v>
      </c>
      <c r="M39" s="36" t="n"/>
      <c r="N39" s="26">
        <f>IFERROR(G39/G$59,"")</f>
        <v/>
      </c>
      <c r="O39" s="26">
        <f>IFERROR(H39/H$59,"")</f>
        <v/>
      </c>
      <c r="P39" s="26">
        <f>IFERROR(I39/I$59,"")</f>
        <v/>
      </c>
      <c r="Q39" s="26">
        <f>IFERROR(J39/J$59,"")</f>
        <v/>
      </c>
      <c r="R39" s="26">
        <f>IFERROR(K39/K$59,"")</f>
        <v/>
      </c>
      <c r="S39" s="26">
        <f>IFERROR(L39/L$59,"")</f>
        <v/>
      </c>
      <c r="T39" s="36" t="n"/>
      <c r="U39" s="2" t="n"/>
      <c r="V39" s="2" t="n"/>
      <c r="W39" s="2" t="n"/>
      <c r="X39" s="65" t="n"/>
      <c r="Y39" s="65" t="n"/>
      <c r="Z39" s="2" t="n"/>
    </row>
    <row r="40" ht="14.25" customFormat="1" customHeight="1" s="55">
      <c r="A40" s="12" t="n"/>
      <c r="B40" s="145" t="inlineStr">
        <is>
          <t>Платформы для разработчиков, микросервисы</t>
        </is>
      </c>
      <c r="C40" s="143" t="n"/>
      <c r="D40" s="143" t="n"/>
      <c r="E40" s="144" t="n"/>
      <c r="F40" s="34" t="n"/>
      <c r="G40" s="3" t="n">
        <v>1.66</v>
      </c>
      <c r="H40" s="3" t="n">
        <v>1.06</v>
      </c>
      <c r="I40" s="3" t="n">
        <v>1.26</v>
      </c>
      <c r="J40" s="66" t="n">
        <v>1.31</v>
      </c>
      <c r="K40" s="66" t="n">
        <v>1.37</v>
      </c>
      <c r="L40" s="3" t="n">
        <v>5</v>
      </c>
      <c r="M40" s="36" t="n"/>
      <c r="N40" s="26">
        <f>IFERROR(G40/G$59,"")</f>
        <v/>
      </c>
      <c r="O40" s="26">
        <f>IFERROR(H40/H$59,"")</f>
        <v/>
      </c>
      <c r="P40" s="26">
        <f>IFERROR(I40/I$59,"")</f>
        <v/>
      </c>
      <c r="Q40" s="26">
        <f>IFERROR(J40/J$59,"")</f>
        <v/>
      </c>
      <c r="R40" s="26">
        <f>IFERROR(K40/K$59,"")</f>
        <v/>
      </c>
      <c r="S40" s="26">
        <f>IFERROR(L40/L$59,"")</f>
        <v/>
      </c>
      <c r="T40" s="36" t="n"/>
      <c r="U40" s="2" t="n"/>
      <c r="V40" s="2" t="n"/>
      <c r="W40" s="2" t="n"/>
      <c r="X40" s="65" t="n"/>
      <c r="Y40" s="65" t="n"/>
      <c r="Z40" s="2" t="n"/>
    </row>
    <row r="41" ht="14.25" customFormat="1" customHeight="1" s="55">
      <c r="A41" s="12" t="n"/>
      <c r="B41" s="145" t="inlineStr">
        <is>
          <t>Платформы для баз данных (DBaaS)</t>
        </is>
      </c>
      <c r="C41" s="143" t="n"/>
      <c r="D41" s="143" t="n"/>
      <c r="E41" s="144" t="n"/>
      <c r="F41" s="34" t="n"/>
      <c r="G41" s="3" t="n">
        <v>1.66</v>
      </c>
      <c r="H41" s="3" t="n">
        <v>4.26</v>
      </c>
      <c r="I41" s="3" t="n">
        <v>5.04</v>
      </c>
      <c r="J41" s="66" t="n">
        <v>5.24</v>
      </c>
      <c r="K41" s="66" t="n">
        <v>5.46</v>
      </c>
      <c r="L41" s="3" t="n">
        <v>20</v>
      </c>
      <c r="M41" s="36" t="n"/>
      <c r="N41" s="26">
        <f>IFERROR(G41/G$59,"")</f>
        <v/>
      </c>
      <c r="O41" s="26">
        <f>IFERROR(H41/H$59,"")</f>
        <v/>
      </c>
      <c r="P41" s="26">
        <f>IFERROR(I41/I$59,"")</f>
        <v/>
      </c>
      <c r="Q41" s="26">
        <f>IFERROR(J41/J$59,"")</f>
        <v/>
      </c>
      <c r="R41" s="26">
        <f>IFERROR(K41/K$59,"")</f>
        <v/>
      </c>
      <c r="S41" s="26">
        <f>IFERROR(L41/L$59,"")</f>
        <v/>
      </c>
      <c r="T41" s="36" t="n"/>
      <c r="U41" s="2" t="n"/>
      <c r="V41" s="2" t="n"/>
      <c r="W41" s="2" t="n"/>
      <c r="X41" s="65" t="n"/>
      <c r="Y41" s="65" t="n"/>
      <c r="Z41" s="2" t="n"/>
    </row>
    <row r="42" ht="14.25" customFormat="1" customHeight="1" s="55">
      <c r="A42" s="12" t="n"/>
      <c r="B42" s="145" t="inlineStr">
        <is>
          <t>Платформы для аналитики данных (BI)</t>
        </is>
      </c>
      <c r="C42" s="143" t="n"/>
      <c r="D42" s="143" t="n"/>
      <c r="E42" s="144" t="n"/>
      <c r="F42" s="34" t="n"/>
      <c r="G42" s="3" t="n">
        <v>0</v>
      </c>
      <c r="H42" s="3" t="n">
        <v>1.06</v>
      </c>
      <c r="I42" s="3" t="n">
        <v>1.26</v>
      </c>
      <c r="J42" s="66" t="n">
        <v>1.31</v>
      </c>
      <c r="K42" s="66" t="n">
        <v>1.37</v>
      </c>
      <c r="L42" s="3" t="n">
        <v>5</v>
      </c>
      <c r="M42" s="36" t="n"/>
      <c r="N42" s="26">
        <f>IFERROR(G42/G$59,"")</f>
        <v/>
      </c>
      <c r="O42" s="26">
        <f>IFERROR(H42/H$59,"")</f>
        <v/>
      </c>
      <c r="P42" s="26">
        <f>IFERROR(I42/I$59,"")</f>
        <v/>
      </c>
      <c r="Q42" s="26">
        <f>IFERROR(J42/J$59,"")</f>
        <v/>
      </c>
      <c r="R42" s="26">
        <f>IFERROR(K42/K$59,"")</f>
        <v/>
      </c>
      <c r="S42" s="26">
        <f>IFERROR(L42/L$59,"")</f>
        <v/>
      </c>
      <c r="T42" s="36" t="n"/>
      <c r="U42" s="2" t="n"/>
      <c r="V42" s="2" t="n"/>
      <c r="W42" s="2" t="n"/>
      <c r="X42" s="65" t="n"/>
      <c r="Y42" s="65" t="n"/>
      <c r="Z42" s="2" t="n"/>
    </row>
    <row r="43" ht="14.25" customFormat="1" customHeight="1" s="55">
      <c r="A43" s="12" t="n"/>
      <c r="B43" s="145" t="inlineStr">
        <is>
          <t>Платформы для комплексной работы с Big Data</t>
        </is>
      </c>
      <c r="C43" s="143" t="n"/>
      <c r="D43" s="143" t="n"/>
      <c r="E43" s="144" t="n"/>
      <c r="F43" s="34" t="n"/>
      <c r="G43" s="3" t="n">
        <v>0</v>
      </c>
      <c r="H43" s="3" t="n">
        <v>3.19</v>
      </c>
      <c r="I43" s="3" t="n">
        <v>3.78</v>
      </c>
      <c r="J43" s="66" t="n">
        <v>3.93</v>
      </c>
      <c r="K43" s="66" t="n">
        <v>4.1</v>
      </c>
      <c r="L43" s="3" t="n">
        <v>15</v>
      </c>
      <c r="M43" s="36" t="n"/>
      <c r="N43" s="26">
        <f>IFERROR(G43/G$59,"")</f>
        <v/>
      </c>
      <c r="O43" s="26">
        <f>IFERROR(H43/H$59,"")</f>
        <v/>
      </c>
      <c r="P43" s="26">
        <f>IFERROR(I43/I$59,"")</f>
        <v/>
      </c>
      <c r="Q43" s="26">
        <f>IFERROR(J43/J$59,"")</f>
        <v/>
      </c>
      <c r="R43" s="26">
        <f>IFERROR(K43/K$59,"")</f>
        <v/>
      </c>
      <c r="S43" s="26">
        <f>IFERROR(L43/L$59,"")</f>
        <v/>
      </c>
      <c r="T43" s="36" t="n"/>
      <c r="U43" s="2" t="n"/>
      <c r="V43" s="2" t="n"/>
      <c r="W43" s="2" t="n"/>
      <c r="X43" s="65" t="n"/>
      <c r="Y43" s="65" t="n"/>
      <c r="Z43" s="2" t="n"/>
    </row>
    <row r="44" ht="14.25" customFormat="1" customHeight="1" s="55">
      <c r="A44" s="12" t="n"/>
      <c r="B44" s="145" t="inlineStr">
        <is>
          <t>Виртуальный хостинг сайтов (Web-хостинг)</t>
        </is>
      </c>
      <c r="C44" s="143" t="n"/>
      <c r="D44" s="143" t="n"/>
      <c r="E44" s="144" t="n"/>
      <c r="F44" s="34" t="n"/>
      <c r="G44" s="3" t="n">
        <v>0</v>
      </c>
      <c r="H44" s="3" t="n">
        <v>5.32</v>
      </c>
      <c r="I44" s="3" t="n">
        <v>6.3</v>
      </c>
      <c r="J44" s="66" t="n">
        <v>6.56</v>
      </c>
      <c r="K44" s="66" t="n">
        <v>6.82</v>
      </c>
      <c r="L44" s="3" t="n">
        <v>25</v>
      </c>
      <c r="M44" s="36" t="n"/>
      <c r="N44" s="26">
        <f>IFERROR(G44/G$59,"")</f>
        <v/>
      </c>
      <c r="O44" s="26">
        <f>IFERROR(H44/H$59,"")</f>
        <v/>
      </c>
      <c r="P44" s="26">
        <f>IFERROR(I44/I$59,"")</f>
        <v/>
      </c>
      <c r="Q44" s="26">
        <f>IFERROR(J44/J$59,"")</f>
        <v/>
      </c>
      <c r="R44" s="26">
        <f>IFERROR(K44/K$59,"")</f>
        <v/>
      </c>
      <c r="S44" s="26">
        <f>IFERROR(L44/L$59,"")</f>
        <v/>
      </c>
      <c r="T44" s="36" t="n"/>
      <c r="U44" s="2" t="n"/>
      <c r="V44" s="2" t="n"/>
      <c r="W44" s="2" t="n"/>
      <c r="X44" s="65" t="n"/>
      <c r="Y44" s="65" t="n"/>
      <c r="Z44" s="2" t="n"/>
    </row>
    <row r="45" ht="14.25" customFormat="1" customHeight="1" s="55">
      <c r="A45" s="12" t="n"/>
      <c r="B45" s="145" t="inlineStr">
        <is>
          <t>Сети доставки контента (CDN)</t>
        </is>
      </c>
      <c r="C45" s="143" t="n"/>
      <c r="D45" s="143" t="n"/>
      <c r="E45" s="144" t="n"/>
      <c r="F45" s="34" t="n"/>
      <c r="G45" s="3" t="n">
        <v>0</v>
      </c>
      <c r="H45" s="3" t="n">
        <v>0</v>
      </c>
      <c r="I45" s="3" t="n">
        <v>0</v>
      </c>
      <c r="J45" s="66" t="n">
        <v>0</v>
      </c>
      <c r="K45" s="66" t="n">
        <v>0</v>
      </c>
      <c r="L45" s="3">
        <f>SUM(H45:K45)</f>
        <v/>
      </c>
      <c r="M45" s="36" t="n"/>
      <c r="N45" s="26">
        <f>IFERROR(G45/G$59,"")</f>
        <v/>
      </c>
      <c r="O45" s="26">
        <f>IFERROR(H45/H$59,"")</f>
        <v/>
      </c>
      <c r="P45" s="26">
        <f>IFERROR(I45/I$59,"")</f>
        <v/>
      </c>
      <c r="Q45" s="26">
        <f>IFERROR(J45/J$59,"")</f>
        <v/>
      </c>
      <c r="R45" s="26">
        <f>IFERROR(K45/K$59,"")</f>
        <v/>
      </c>
      <c r="S45" s="26">
        <f>IFERROR(L45/L$59,"")</f>
        <v/>
      </c>
      <c r="T45" s="36" t="n"/>
      <c r="U45" s="2" t="n"/>
      <c r="V45" s="2" t="n"/>
      <c r="W45" s="2" t="n"/>
      <c r="X45" s="65" t="n"/>
      <c r="Y45" s="65" t="n"/>
      <c r="Z45" s="2" t="n"/>
    </row>
    <row r="46" ht="14.25" customFormat="1" customHeight="1" s="55">
      <c r="A46" s="12" t="n"/>
      <c r="B46" s="145" t="inlineStr">
        <is>
          <t xml:space="preserve">Communication PaaS (CPaaS), API Gateway </t>
        </is>
      </c>
      <c r="C46" s="143" t="n"/>
      <c r="D46" s="143" t="n"/>
      <c r="E46" s="144" t="n"/>
      <c r="F46" s="34" t="n"/>
      <c r="G46" s="3" t="n">
        <v>0</v>
      </c>
      <c r="H46" s="3" t="n">
        <v>2.13</v>
      </c>
      <c r="I46" s="3" t="n">
        <v>2.52</v>
      </c>
      <c r="J46" s="66" t="n">
        <v>2.62</v>
      </c>
      <c r="K46" s="66" t="n">
        <v>2.73</v>
      </c>
      <c r="L46" s="3" t="n">
        <v>10</v>
      </c>
      <c r="M46" s="36" t="n"/>
      <c r="N46" s="26">
        <f>IFERROR(G46/G$59,"")</f>
        <v/>
      </c>
      <c r="O46" s="26">
        <f>IFERROR(H46/H$59,"")</f>
        <v/>
      </c>
      <c r="P46" s="26">
        <f>IFERROR(I46/I$59,"")</f>
        <v/>
      </c>
      <c r="Q46" s="26">
        <f>IFERROR(J46/J$59,"")</f>
        <v/>
      </c>
      <c r="R46" s="26">
        <f>IFERROR(K46/K$59,"")</f>
        <v/>
      </c>
      <c r="S46" s="26">
        <f>IFERROR(L46/L$59,"")</f>
        <v/>
      </c>
      <c r="T46" s="36" t="n"/>
      <c r="U46" s="2" t="n"/>
      <c r="V46" s="2" t="n"/>
      <c r="W46" s="2" t="n"/>
      <c r="X46" s="65" t="n"/>
      <c r="Y46" s="65" t="n"/>
      <c r="Z46" s="2" t="n"/>
    </row>
    <row r="47" ht="14.25" customFormat="1" customHeight="1" s="55">
      <c r="A47" s="12" t="n"/>
      <c r="B47" s="145" t="inlineStr">
        <is>
          <t>MLOps (платформы для разработки моделей машинного обучения)</t>
        </is>
      </c>
      <c r="C47" s="143" t="n"/>
      <c r="D47" s="143" t="n"/>
      <c r="E47" s="144" t="n"/>
      <c r="F47" s="34" t="n"/>
      <c r="G47" s="3" t="n">
        <v>0</v>
      </c>
      <c r="H47" s="3" t="n">
        <v>0</v>
      </c>
      <c r="I47" s="3" t="n">
        <v>0</v>
      </c>
      <c r="J47" s="66" t="n">
        <v>0</v>
      </c>
      <c r="K47" s="66" t="n">
        <v>0</v>
      </c>
      <c r="L47" s="3">
        <f>SUM(H47:K47)</f>
        <v/>
      </c>
      <c r="M47" s="36" t="n"/>
      <c r="N47" s="26">
        <f>IFERROR(G47/G$59,"")</f>
        <v/>
      </c>
      <c r="O47" s="26">
        <f>IFERROR(H47/H$59,"")</f>
        <v/>
      </c>
      <c r="P47" s="26">
        <f>IFERROR(I47/I$59,"")</f>
        <v/>
      </c>
      <c r="Q47" s="26">
        <f>IFERROR(J47/J$59,"")</f>
        <v/>
      </c>
      <c r="R47" s="26">
        <f>IFERROR(K47/K$59,"")</f>
        <v/>
      </c>
      <c r="S47" s="26">
        <f>IFERROR(L47/L$59,"")</f>
        <v/>
      </c>
      <c r="T47" s="36" t="n"/>
      <c r="U47" s="2" t="n"/>
      <c r="V47" s="2" t="n"/>
      <c r="W47" s="2" t="n"/>
      <c r="X47" s="65" t="n"/>
      <c r="Y47" s="65" t="n"/>
      <c r="Z47" s="2" t="n"/>
    </row>
    <row r="48" ht="14.25" customFormat="1" customHeight="1" s="55">
      <c r="A48" s="12" t="n"/>
      <c r="B48" s="145" t="inlineStr">
        <is>
          <t>Синтез и распознавание речи (включая ASR/TTS, NLP, перевод, речевая аналитика)</t>
        </is>
      </c>
      <c r="C48" s="143" t="n"/>
      <c r="D48" s="143" t="n"/>
      <c r="E48" s="144" t="n"/>
      <c r="F48" s="34" t="n"/>
      <c r="G48" s="3" t="n">
        <v>0</v>
      </c>
      <c r="H48" s="3" t="n">
        <v>0</v>
      </c>
      <c r="I48" s="3" t="n">
        <v>0</v>
      </c>
      <c r="J48" s="66" t="n">
        <v>0</v>
      </c>
      <c r="K48" s="66" t="n">
        <v>0</v>
      </c>
      <c r="L48" s="3">
        <f>SUM(H48:K48)</f>
        <v/>
      </c>
      <c r="M48" s="36" t="n"/>
      <c r="N48" s="26">
        <f>IFERROR(G48/G$59,"")</f>
        <v/>
      </c>
      <c r="O48" s="26">
        <f>IFERROR(H48/H$59,"")</f>
        <v/>
      </c>
      <c r="P48" s="26">
        <f>IFERROR(I48/I$59,"")</f>
        <v/>
      </c>
      <c r="Q48" s="26">
        <f>IFERROR(J48/J$59,"")</f>
        <v/>
      </c>
      <c r="R48" s="26">
        <f>IFERROR(K48/K$59,"")</f>
        <v/>
      </c>
      <c r="S48" s="26">
        <f>IFERROR(L48/L$59,"")</f>
        <v/>
      </c>
      <c r="T48" s="36" t="n"/>
      <c r="U48" s="2" t="n"/>
      <c r="V48" s="2" t="n"/>
      <c r="W48" s="2" t="n"/>
      <c r="X48" s="65" t="n"/>
      <c r="Y48" s="65" t="n"/>
      <c r="Z48" s="2" t="n"/>
    </row>
    <row r="49" ht="14.25" customFormat="1" customHeight="1" s="55">
      <c r="A49" s="12" t="n"/>
      <c r="B49" s="145" t="inlineStr">
        <is>
          <t>Распознавание изображений, видео и документов</t>
        </is>
      </c>
      <c r="C49" s="143" t="n"/>
      <c r="D49" s="143" t="n"/>
      <c r="E49" s="144" t="n"/>
      <c r="F49" s="34" t="n"/>
      <c r="G49" s="3" t="n">
        <v>0</v>
      </c>
      <c r="H49" s="3" t="n">
        <v>0</v>
      </c>
      <c r="I49" s="3" t="n">
        <v>0</v>
      </c>
      <c r="J49" s="66" t="n">
        <v>0</v>
      </c>
      <c r="K49" s="66" t="n">
        <v>0</v>
      </c>
      <c r="L49" s="3">
        <f>SUM(H49:K49)</f>
        <v/>
      </c>
      <c r="M49" s="36" t="n"/>
      <c r="N49" s="26">
        <f>IFERROR(G49/G$59,"")</f>
        <v/>
      </c>
      <c r="O49" s="26">
        <f>IFERROR(H49/H$59,"")</f>
        <v/>
      </c>
      <c r="P49" s="26">
        <f>IFERROR(I49/I$59,"")</f>
        <v/>
      </c>
      <c r="Q49" s="26">
        <f>IFERROR(J49/J$59,"")</f>
        <v/>
      </c>
      <c r="R49" s="26">
        <f>IFERROR(K49/K$59,"")</f>
        <v/>
      </c>
      <c r="S49" s="26">
        <f>IFERROR(L49/L$59,"")</f>
        <v/>
      </c>
      <c r="T49" s="36" t="n"/>
      <c r="U49" s="2" t="n"/>
      <c r="V49" s="2" t="n"/>
      <c r="W49" s="2" t="n"/>
      <c r="X49" s="65" t="n"/>
      <c r="Y49" s="65" t="n"/>
      <c r="Z49" s="2" t="n"/>
    </row>
    <row r="50" ht="14.25" customFormat="1" customHeight="1" s="55">
      <c r="A50" s="12" t="n"/>
      <c r="B50" s="145" t="inlineStr">
        <is>
          <t>Доступ к платформам генеративного ИИ</t>
        </is>
      </c>
      <c r="C50" s="143" t="n"/>
      <c r="D50" s="143" t="n"/>
      <c r="E50" s="144" t="n"/>
      <c r="F50" s="34" t="n"/>
      <c r="G50" s="3" t="n">
        <v>0</v>
      </c>
      <c r="H50" s="3" t="n">
        <v>0</v>
      </c>
      <c r="I50" s="3" t="n">
        <v>0</v>
      </c>
      <c r="J50" s="66" t="n">
        <v>0</v>
      </c>
      <c r="K50" s="66" t="n">
        <v>0</v>
      </c>
      <c r="L50" s="3">
        <f>SUM(H50:K50)</f>
        <v/>
      </c>
      <c r="M50" s="36" t="n"/>
      <c r="N50" s="26">
        <f>IFERROR(G50/G$59,"")</f>
        <v/>
      </c>
      <c r="O50" s="26">
        <f>IFERROR(H50/H$59,"")</f>
        <v/>
      </c>
      <c r="P50" s="26">
        <f>IFERROR(I50/I$59,"")</f>
        <v/>
      </c>
      <c r="Q50" s="26">
        <f>IFERROR(J50/J$59,"")</f>
        <v/>
      </c>
      <c r="R50" s="26">
        <f>IFERROR(K50/K$59,"")</f>
        <v/>
      </c>
      <c r="S50" s="26">
        <f>IFERROR(L50/L$59,"")</f>
        <v/>
      </c>
      <c r="T50" s="36" t="n"/>
      <c r="U50" s="2" t="n"/>
      <c r="V50" s="2" t="n"/>
      <c r="W50" s="2" t="n"/>
      <c r="X50" s="65" t="n"/>
      <c r="Y50" s="65" t="n"/>
      <c r="Z50" s="2" t="n"/>
    </row>
    <row r="51" ht="14.25" customFormat="1" customHeight="1" s="55">
      <c r="A51" s="12" t="n"/>
      <c r="B51" s="145" t="inlineStr">
        <is>
          <t>ИИ-поиск (Search &amp; Knowledge Discovery)</t>
        </is>
      </c>
      <c r="C51" s="143" t="n"/>
      <c r="D51" s="143" t="n"/>
      <c r="E51" s="144" t="n"/>
      <c r="F51" s="34" t="n"/>
      <c r="G51" s="3" t="n">
        <v>0</v>
      </c>
      <c r="H51" s="3" t="n">
        <v>0</v>
      </c>
      <c r="I51" s="3" t="n">
        <v>0</v>
      </c>
      <c r="J51" s="66" t="n">
        <v>0</v>
      </c>
      <c r="K51" s="66" t="n">
        <v>0</v>
      </c>
      <c r="L51" s="3">
        <f>SUM(H51:K51)</f>
        <v/>
      </c>
      <c r="M51" s="36" t="n"/>
      <c r="N51" s="26">
        <f>IFERROR(G51/G$59,"")</f>
        <v/>
      </c>
      <c r="O51" s="26">
        <f>IFERROR(H51/H$59,"")</f>
        <v/>
      </c>
      <c r="P51" s="26">
        <f>IFERROR(I51/I$59,"")</f>
        <v/>
      </c>
      <c r="Q51" s="26">
        <f>IFERROR(J51/J$59,"")</f>
        <v/>
      </c>
      <c r="R51" s="26">
        <f>IFERROR(K51/K$59,"")</f>
        <v/>
      </c>
      <c r="S51" s="26">
        <f>IFERROR(L51/L$59,"")</f>
        <v/>
      </c>
      <c r="T51" s="36" t="n"/>
      <c r="U51" s="2" t="n"/>
      <c r="V51" s="2" t="n"/>
      <c r="W51" s="2" t="n"/>
      <c r="X51" s="65" t="n"/>
      <c r="Y51" s="65" t="n"/>
      <c r="Z51" s="2" t="n"/>
    </row>
    <row r="52" ht="14.25" customFormat="1" customHeight="1" s="55">
      <c r="A52" s="12" t="n"/>
      <c r="B52" s="145" t="inlineStr">
        <is>
          <t>Платформы для расчетов на суперкомпьютере</t>
        </is>
      </c>
      <c r="C52" s="143" t="n"/>
      <c r="D52" s="143" t="n"/>
      <c r="E52" s="144" t="n"/>
      <c r="F52" s="34" t="n"/>
      <c r="G52" s="3" t="n">
        <v>0</v>
      </c>
      <c r="H52" s="3" t="n">
        <v>0</v>
      </c>
      <c r="I52" s="3" t="n">
        <v>0</v>
      </c>
      <c r="J52" s="66" t="n">
        <v>0</v>
      </c>
      <c r="K52" s="66" t="n">
        <v>0</v>
      </c>
      <c r="L52" s="3">
        <f>SUM(H52:K52)</f>
        <v/>
      </c>
      <c r="M52" s="36" t="n"/>
      <c r="N52" s="26">
        <f>IFERROR(G52/G$59,"")</f>
        <v/>
      </c>
      <c r="O52" s="26">
        <f>IFERROR(H52/H$59,"")</f>
        <v/>
      </c>
      <c r="P52" s="26">
        <f>IFERROR(I52/I$59,"")</f>
        <v/>
      </c>
      <c r="Q52" s="26">
        <f>IFERROR(J52/J$59,"")</f>
        <v/>
      </c>
      <c r="R52" s="26">
        <f>IFERROR(K52/K$59,"")</f>
        <v/>
      </c>
      <c r="S52" s="26">
        <f>IFERROR(L52/L$59,"")</f>
        <v/>
      </c>
      <c r="T52" s="36" t="n"/>
      <c r="U52" s="2" t="n"/>
      <c r="V52" s="2" t="n"/>
      <c r="W52" s="2" t="n"/>
      <c r="X52" s="65" t="n"/>
      <c r="Y52" s="65" t="n"/>
      <c r="Z52" s="2" t="n"/>
    </row>
    <row r="53" ht="14.25" customFormat="1" customHeight="1" s="55">
      <c r="A53" s="12" t="n"/>
      <c r="B53" s="145" t="inlineStr">
        <is>
          <t>IoT платформы, в том числе платформы умного дома</t>
        </is>
      </c>
      <c r="C53" s="143" t="n"/>
      <c r="D53" s="143" t="n"/>
      <c r="E53" s="144" t="n"/>
      <c r="F53" s="34" t="n"/>
      <c r="G53" s="3" t="n">
        <v>0</v>
      </c>
      <c r="H53" s="3" t="n">
        <v>0</v>
      </c>
      <c r="I53" s="3" t="n">
        <v>0</v>
      </c>
      <c r="J53" s="66" t="n">
        <v>0</v>
      </c>
      <c r="K53" s="66" t="n">
        <v>0</v>
      </c>
      <c r="L53" s="3">
        <f>SUM(H53:K53)</f>
        <v/>
      </c>
      <c r="M53" s="36" t="n"/>
      <c r="N53" s="26">
        <f>IFERROR(G53/G$59,"")</f>
        <v/>
      </c>
      <c r="O53" s="26">
        <f>IFERROR(H53/H$59,"")</f>
        <v/>
      </c>
      <c r="P53" s="26">
        <f>IFERROR(I53/I$59,"")</f>
        <v/>
      </c>
      <c r="Q53" s="26">
        <f>IFERROR(J53/J$59,"")</f>
        <v/>
      </c>
      <c r="R53" s="26">
        <f>IFERROR(K53/K$59,"")</f>
        <v/>
      </c>
      <c r="S53" s="26">
        <f>IFERROR(L53/L$59,"")</f>
        <v/>
      </c>
      <c r="T53" s="36" t="n"/>
      <c r="U53" s="2" t="n"/>
      <c r="V53" s="2" t="n"/>
      <c r="W53" s="2" t="n"/>
      <c r="X53" s="65" t="n"/>
      <c r="Y53" s="65" t="n"/>
      <c r="Z53" s="2" t="n"/>
    </row>
    <row r="54" ht="14.25" customFormat="1" customHeight="1" s="55">
      <c r="A54" s="12" t="n"/>
      <c r="B54" s="145" t="inlineStr">
        <is>
          <t>Cloud DNS</t>
        </is>
      </c>
      <c r="C54" s="143" t="n"/>
      <c r="D54" s="143" t="n"/>
      <c r="E54" s="144" t="n"/>
      <c r="F54" s="34" t="n"/>
      <c r="G54" s="3" t="n">
        <v>0</v>
      </c>
      <c r="H54" s="3" t="n">
        <v>0</v>
      </c>
      <c r="I54" s="3" t="n">
        <v>0</v>
      </c>
      <c r="J54" s="66" t="n">
        <v>0</v>
      </c>
      <c r="K54" s="66" t="n">
        <v>0</v>
      </c>
      <c r="L54" s="3">
        <f>SUM(H54:K54)</f>
        <v/>
      </c>
      <c r="M54" s="36" t="n"/>
      <c r="N54" s="26">
        <f>IFERROR(G54/G$59,"")</f>
        <v/>
      </c>
      <c r="O54" s="26">
        <f>IFERROR(H54/H$59,"")</f>
        <v/>
      </c>
      <c r="P54" s="26">
        <f>IFERROR(I54/I$59,"")</f>
        <v/>
      </c>
      <c r="Q54" s="26">
        <f>IFERROR(J54/J$59,"")</f>
        <v/>
      </c>
      <c r="R54" s="26">
        <f>IFERROR(K54/K$59,"")</f>
        <v/>
      </c>
      <c r="S54" s="26">
        <f>IFERROR(L54/L$59,"")</f>
        <v/>
      </c>
      <c r="T54" s="36" t="n"/>
      <c r="U54" s="2" t="n"/>
      <c r="V54" s="2" t="n"/>
      <c r="W54" s="2" t="n"/>
      <c r="X54" s="65" t="n"/>
      <c r="Y54" s="65" t="n"/>
      <c r="Z54" s="2" t="n"/>
    </row>
    <row r="55" ht="14.25" customFormat="1" customHeight="1" s="55">
      <c r="A55" s="12" t="n"/>
      <c r="B55" s="145" t="inlineStr">
        <is>
          <t>Low-code/No-code платформы</t>
        </is>
      </c>
      <c r="C55" s="143" t="n"/>
      <c r="D55" s="143" t="n"/>
      <c r="E55" s="144" t="n"/>
      <c r="F55" s="34" t="n"/>
      <c r="G55" s="3" t="n">
        <v>0</v>
      </c>
      <c r="H55" s="3" t="n">
        <v>0</v>
      </c>
      <c r="I55" s="3" t="n">
        <v>0</v>
      </c>
      <c r="J55" s="66" t="n">
        <v>0</v>
      </c>
      <c r="K55" s="66" t="n">
        <v>0</v>
      </c>
      <c r="L55" s="3">
        <f>SUM(H55:K55)</f>
        <v/>
      </c>
      <c r="M55" s="36" t="n"/>
      <c r="N55" s="26">
        <f>IFERROR(G55/G$59,"")</f>
        <v/>
      </c>
      <c r="O55" s="26">
        <f>IFERROR(H55/H$59,"")</f>
        <v/>
      </c>
      <c r="P55" s="26">
        <f>IFERROR(I55/I$59,"")</f>
        <v/>
      </c>
      <c r="Q55" s="26">
        <f>IFERROR(J55/J$59,"")</f>
        <v/>
      </c>
      <c r="R55" s="26">
        <f>IFERROR(K55/K$59,"")</f>
        <v/>
      </c>
      <c r="S55" s="26">
        <f>IFERROR(L55/L$59,"")</f>
        <v/>
      </c>
      <c r="T55" s="36" t="n"/>
      <c r="U55" s="2" t="n"/>
      <c r="V55" s="2" t="n"/>
      <c r="W55" s="2" t="n"/>
      <c r="X55" s="65" t="n"/>
      <c r="Y55" s="65" t="n"/>
      <c r="Z55" s="2" t="n"/>
    </row>
    <row r="56" ht="14.25" customFormat="1" customHeight="1" s="55">
      <c r="A56" s="12" t="n"/>
      <c r="B56" s="145" t="inlineStr">
        <is>
          <t>Доступ у услугам PaaS российских провайдеров</t>
        </is>
      </c>
      <c r="C56" s="143" t="n"/>
      <c r="D56" s="143" t="n"/>
      <c r="E56" s="144" t="n"/>
      <c r="F56" s="34" t="n"/>
      <c r="G56" s="3" t="n">
        <v>0</v>
      </c>
      <c r="H56" s="3" t="n">
        <v>0</v>
      </c>
      <c r="I56" s="3" t="n">
        <v>0</v>
      </c>
      <c r="J56" s="66" t="n">
        <v>0</v>
      </c>
      <c r="K56" s="66" t="n">
        <v>0</v>
      </c>
      <c r="L56" s="3">
        <f>SUM(H56:K56)</f>
        <v/>
      </c>
      <c r="M56" s="36" t="n"/>
      <c r="N56" s="26">
        <f>IFERROR(G56/G$59,"")</f>
        <v/>
      </c>
      <c r="O56" s="26">
        <f>IFERROR(H56/H$59,"")</f>
        <v/>
      </c>
      <c r="P56" s="26">
        <f>IFERROR(I56/I$59,"")</f>
        <v/>
      </c>
      <c r="Q56" s="26">
        <f>IFERROR(J56/J$59,"")</f>
        <v/>
      </c>
      <c r="R56" s="26">
        <f>IFERROR(K56/K$59,"")</f>
        <v/>
      </c>
      <c r="S56" s="26">
        <f>IFERROR(L56/L$59,"")</f>
        <v/>
      </c>
      <c r="T56" s="36" t="n"/>
      <c r="U56" s="2" t="n"/>
      <c r="V56" s="2" t="n"/>
      <c r="W56" s="2" t="n"/>
      <c r="X56" s="65" t="n"/>
      <c r="Y56" s="65" t="n"/>
      <c r="Z56" s="2" t="n"/>
    </row>
    <row r="57" ht="14.25" customFormat="1" customHeight="1" s="55">
      <c r="A57" s="12" t="n"/>
      <c r="B57" s="145" t="inlineStr">
        <is>
          <t>Доступ у услугам PaaS зарубежных гиперскейлеров</t>
        </is>
      </c>
      <c r="C57" s="143" t="n"/>
      <c r="D57" s="143" t="n"/>
      <c r="E57" s="144" t="n"/>
      <c r="F57" s="34" t="n"/>
      <c r="G57" s="3" t="n">
        <v>0</v>
      </c>
      <c r="H57" s="3" t="n">
        <v>0</v>
      </c>
      <c r="I57" s="3" t="n">
        <v>0</v>
      </c>
      <c r="J57" s="66" t="n">
        <v>0</v>
      </c>
      <c r="K57" s="66" t="n">
        <v>0</v>
      </c>
      <c r="L57" s="3">
        <f>SUM(H57:K57)</f>
        <v/>
      </c>
      <c r="M57" s="36" t="n"/>
      <c r="N57" s="26">
        <f>IFERROR(G57/G$59,"")</f>
        <v/>
      </c>
      <c r="O57" s="26">
        <f>IFERROR(H57/H$59,"")</f>
        <v/>
      </c>
      <c r="P57" s="26">
        <f>IFERROR(I57/I$59,"")</f>
        <v/>
      </c>
      <c r="Q57" s="26">
        <f>IFERROR(J57/J$59,"")</f>
        <v/>
      </c>
      <c r="R57" s="26">
        <f>IFERROR(K57/K$59,"")</f>
        <v/>
      </c>
      <c r="S57" s="26">
        <f>IFERROR(L57/L$59,"")</f>
        <v/>
      </c>
      <c r="T57" s="36" t="n"/>
      <c r="U57" s="2" t="n"/>
      <c r="V57" s="2" t="n"/>
      <c r="W57" s="2" t="n"/>
      <c r="X57" s="65" t="n"/>
      <c r="Y57" s="65" t="n"/>
      <c r="Z57" s="2" t="n"/>
    </row>
    <row r="58" ht="14.25" customFormat="1" customHeight="1" s="55">
      <c r="A58" s="12" t="n"/>
      <c r="B58" s="146" t="inlineStr">
        <is>
          <t>Другое, укажите что</t>
        </is>
      </c>
      <c r="C58" s="144" t="n"/>
      <c r="D58" s="120" t="n"/>
      <c r="E58" s="139" t="n"/>
      <c r="F58" s="84" t="n"/>
      <c r="G58" s="3" t="n">
        <v>0</v>
      </c>
      <c r="H58" s="3" t="n">
        <v>0</v>
      </c>
      <c r="I58" s="3" t="n">
        <v>0</v>
      </c>
      <c r="J58" s="66" t="n">
        <v>0</v>
      </c>
      <c r="K58" s="66" t="n">
        <v>0</v>
      </c>
      <c r="L58" s="3">
        <f>SUM(H58:K58)</f>
        <v/>
      </c>
      <c r="M58" s="36" t="n"/>
      <c r="N58" s="26">
        <f>IFERROR(G58/G$59,"")</f>
        <v/>
      </c>
      <c r="O58" s="26">
        <f>IFERROR(H58/H$59,"")</f>
        <v/>
      </c>
      <c r="P58" s="26">
        <f>IFERROR(I58/I$59,"")</f>
        <v/>
      </c>
      <c r="Q58" s="26">
        <f>IFERROR(J58/J$59,"")</f>
        <v/>
      </c>
      <c r="R58" s="26">
        <f>IFERROR(K58/K$59,"")</f>
        <v/>
      </c>
      <c r="S58" s="26">
        <f>IFERROR(L58/L$59,"")</f>
        <v/>
      </c>
      <c r="T58" s="36" t="n"/>
      <c r="U58" s="2" t="n"/>
      <c r="V58" s="2" t="n"/>
      <c r="W58" s="2" t="n"/>
      <c r="X58" s="65" t="n"/>
      <c r="Y58" s="65" t="n"/>
      <c r="Z58" s="2" t="n"/>
    </row>
    <row r="59" ht="14.25" customFormat="1" customHeight="1" s="55">
      <c r="A59" s="12" t="n"/>
      <c r="B59" s="119" t="inlineStr">
        <is>
          <t>Всего 100% от выручки PaaS</t>
        </is>
      </c>
      <c r="C59" s="143" t="n"/>
      <c r="D59" s="143" t="n"/>
      <c r="E59" s="144" t="n"/>
      <c r="F59" s="87" t="n"/>
      <c r="G59" s="7">
        <f>SUM(G39:G58)</f>
        <v/>
      </c>
      <c r="H59" s="7">
        <f>SUM(H39:H58)</f>
        <v/>
      </c>
      <c r="I59" s="7">
        <f>SUM(I39:I58)</f>
        <v/>
      </c>
      <c r="J59" s="7">
        <f>SUM(J39:J58)</f>
        <v/>
      </c>
      <c r="K59" s="7">
        <f>SUM(K39:K58)</f>
        <v/>
      </c>
      <c r="L59" s="7">
        <f>SUM(L39:L58)</f>
        <v/>
      </c>
      <c r="M59" s="5" t="n"/>
      <c r="N59" s="57">
        <f>SUM(N39:N58)</f>
        <v/>
      </c>
      <c r="O59" s="57">
        <f>SUM(O39:O58)</f>
        <v/>
      </c>
      <c r="P59" s="57">
        <f>SUM(P39:P58)</f>
        <v/>
      </c>
      <c r="Q59" s="57">
        <f>SUM(Q39:Q58)</f>
        <v/>
      </c>
      <c r="R59" s="57">
        <f>SUM(R39:R58)</f>
        <v/>
      </c>
      <c r="S59" s="57">
        <f>SUM(S39:S58)</f>
        <v/>
      </c>
      <c r="T59" s="5" t="n"/>
      <c r="U59" s="32" t="n"/>
      <c r="V59" s="32" t="n"/>
      <c r="W59" s="32" t="n"/>
      <c r="X59" s="32" t="n"/>
      <c r="Y59" s="32" t="n"/>
      <c r="Z59" s="32" t="n"/>
    </row>
    <row r="60" ht="14.25" customFormat="1" customHeight="1" s="55">
      <c r="A60" s="12" t="n"/>
      <c r="B60" s="10" t="inlineStr">
        <is>
          <t>Таблица 4</t>
        </is>
      </c>
      <c r="C60" s="5" t="n"/>
      <c r="D60" s="5" t="n"/>
      <c r="E60" s="5" t="n"/>
      <c r="F60" s="5" t="n"/>
      <c r="G60" s="52" t="inlineStr">
        <is>
          <t>итог</t>
        </is>
      </c>
      <c r="H60" s="52" t="inlineStr">
        <is>
          <t>итог</t>
        </is>
      </c>
      <c r="I60" s="52" t="inlineStr">
        <is>
          <t>итог</t>
        </is>
      </c>
      <c r="J60" s="52" t="inlineStr">
        <is>
          <t>прогноз</t>
        </is>
      </c>
      <c r="K60" s="52" t="inlineStr">
        <is>
          <t>прогноз</t>
        </is>
      </c>
      <c r="L60" s="52" t="inlineStr">
        <is>
          <t>прогноз</t>
        </is>
      </c>
      <c r="M60" s="6" t="n"/>
      <c r="N60" s="52" t="inlineStr">
        <is>
          <t>итог</t>
        </is>
      </c>
      <c r="O60" s="52" t="inlineStr">
        <is>
          <t>итог</t>
        </is>
      </c>
      <c r="P60" s="52" t="inlineStr">
        <is>
          <t>итог</t>
        </is>
      </c>
      <c r="Q60" s="52" t="inlineStr">
        <is>
          <t>прогноз</t>
        </is>
      </c>
      <c r="R60" s="52" t="inlineStr">
        <is>
          <t>прогноз</t>
        </is>
      </c>
      <c r="S60" s="52" t="inlineStr">
        <is>
          <t>прогноз</t>
        </is>
      </c>
      <c r="T60" s="5" t="n"/>
      <c r="U60" s="52" t="inlineStr">
        <is>
          <t>итог</t>
        </is>
      </c>
      <c r="V60" s="52" t="inlineStr">
        <is>
          <t>итог</t>
        </is>
      </c>
      <c r="W60" s="52" t="inlineStr">
        <is>
          <t>итог</t>
        </is>
      </c>
      <c r="X60" s="52" t="inlineStr">
        <is>
          <t>прогноз</t>
        </is>
      </c>
      <c r="Y60" s="52" t="inlineStr">
        <is>
          <t>прогноз</t>
        </is>
      </c>
      <c r="Z60" s="52" t="inlineStr">
        <is>
          <t>прогноз</t>
        </is>
      </c>
    </row>
    <row r="61" ht="14.25" customFormat="1" customHeight="1" s="55">
      <c r="A61" s="12" t="n"/>
      <c r="B61" s="122" t="inlineStr">
        <is>
          <t>Сегменты SaaS, млн руб.</t>
        </is>
      </c>
      <c r="C61" s="143" t="n"/>
      <c r="D61" s="143" t="n"/>
      <c r="E61" s="144" t="n"/>
      <c r="F61" s="23" t="inlineStr">
        <is>
          <t>Продукты</t>
        </is>
      </c>
      <c r="G61" s="13" t="n">
        <v>2025</v>
      </c>
      <c r="H61" s="13" t="inlineStr">
        <is>
          <t>1q 2026</t>
        </is>
      </c>
      <c r="I61" s="13" t="inlineStr">
        <is>
          <t>2q 2026</t>
        </is>
      </c>
      <c r="J61" s="13" t="inlineStr">
        <is>
          <t>3q 2026</t>
        </is>
      </c>
      <c r="K61" s="13" t="inlineStr">
        <is>
          <t>4q 2026</t>
        </is>
      </c>
      <c r="L61" s="13" t="n">
        <v>2026</v>
      </c>
      <c r="M61" s="5" t="n"/>
      <c r="N61" s="13" t="n">
        <v>2025</v>
      </c>
      <c r="O61" s="13" t="inlineStr">
        <is>
          <t>1q 2026</t>
        </is>
      </c>
      <c r="P61" s="13" t="inlineStr">
        <is>
          <t>2q 2026</t>
        </is>
      </c>
      <c r="Q61" s="13" t="inlineStr">
        <is>
          <t>3q 2026</t>
        </is>
      </c>
      <c r="R61" s="13" t="inlineStr">
        <is>
          <t>4q 2026</t>
        </is>
      </c>
      <c r="S61" s="13" t="n">
        <v>2026</v>
      </c>
      <c r="T61" s="5" t="n"/>
      <c r="U61" s="13" t="n">
        <v>2025</v>
      </c>
      <c r="V61" s="13" t="inlineStr">
        <is>
          <t>1q 2026</t>
        </is>
      </c>
      <c r="W61" s="13" t="inlineStr">
        <is>
          <t>2q 2026</t>
        </is>
      </c>
      <c r="X61" s="13" t="inlineStr">
        <is>
          <t>3q 2026</t>
        </is>
      </c>
      <c r="Y61" s="13" t="inlineStr">
        <is>
          <t>4q 2026</t>
        </is>
      </c>
      <c r="Z61" s="13" t="n">
        <v>2026</v>
      </c>
    </row>
    <row r="62" ht="14.25" customFormat="1" customHeight="1" s="55">
      <c r="A62" s="12" t="n"/>
      <c r="B62" s="145" t="inlineStr">
        <is>
          <t>Офисные программы, графич. ред. и т.п.</t>
        </is>
      </c>
      <c r="C62" s="143" t="n"/>
      <c r="D62" s="143" t="n"/>
      <c r="E62" s="144" t="n"/>
      <c r="F62" s="34" t="n"/>
      <c r="G62" s="3" t="n">
        <v>118.65</v>
      </c>
      <c r="H62" s="3" t="n">
        <v>53.22</v>
      </c>
      <c r="I62" s="3" t="n">
        <v>63.04</v>
      </c>
      <c r="J62" s="66" t="n">
        <v>65.56</v>
      </c>
      <c r="K62" s="66" t="n">
        <v>68.18000000000001</v>
      </c>
      <c r="L62" s="3" t="n">
        <v>250</v>
      </c>
      <c r="M62" s="36" t="n"/>
      <c r="N62" s="26">
        <f>IFERROR(G62/G$82,"")</f>
        <v/>
      </c>
      <c r="O62" s="26">
        <f>IFERROR(H62/H$82,"")</f>
        <v/>
      </c>
      <c r="P62" s="26">
        <f>IFERROR(I62/I$82,"")</f>
        <v/>
      </c>
      <c r="Q62" s="26">
        <f>IFERROR(J62/J$82,"")</f>
        <v/>
      </c>
      <c r="R62" s="26">
        <f>IFERROR(K62/K$82,"")</f>
        <v/>
      </c>
      <c r="S62" s="26">
        <f>IFERROR(L62/L$82,"")</f>
        <v/>
      </c>
      <c r="T62" s="36" t="n"/>
      <c r="U62" s="2" t="n"/>
      <c r="V62" s="2" t="n"/>
      <c r="W62" s="2" t="n"/>
      <c r="X62" s="65" t="n"/>
      <c r="Y62" s="65" t="n"/>
      <c r="Z62" s="2" t="n"/>
    </row>
    <row r="63" ht="14.25" customFormat="1" customHeight="1" s="55">
      <c r="A63" s="12" t="n"/>
      <c r="B63" s="145" t="inlineStr">
        <is>
          <t>Почта</t>
        </is>
      </c>
      <c r="C63" s="143" t="n"/>
      <c r="D63" s="143" t="n"/>
      <c r="E63" s="144" t="n"/>
      <c r="F63" s="34" t="n"/>
      <c r="G63" s="3" t="n">
        <v>195.84</v>
      </c>
      <c r="H63" s="3" t="n">
        <v>31.93</v>
      </c>
      <c r="I63" s="3" t="n">
        <v>37.82</v>
      </c>
      <c r="J63" s="66" t="n">
        <v>39.34</v>
      </c>
      <c r="K63" s="66" t="n">
        <v>40.91</v>
      </c>
      <c r="L63" s="3" t="n">
        <v>150</v>
      </c>
      <c r="M63" s="36" t="n"/>
      <c r="N63" s="26">
        <f>IFERROR(G63/G$82,"")</f>
        <v/>
      </c>
      <c r="O63" s="26">
        <f>IFERROR(H63/H$82,"")</f>
        <v/>
      </c>
      <c r="P63" s="26">
        <f>IFERROR(I63/I$82,"")</f>
        <v/>
      </c>
      <c r="Q63" s="26">
        <f>IFERROR(J63/J$82,"")</f>
        <v/>
      </c>
      <c r="R63" s="26">
        <f>IFERROR(K63/K$82,"")</f>
        <v/>
      </c>
      <c r="S63" s="26">
        <f>IFERROR(L63/L$82,"")</f>
        <v/>
      </c>
      <c r="T63" s="36" t="n"/>
      <c r="U63" s="2" t="n"/>
      <c r="V63" s="2" t="n"/>
      <c r="W63" s="2" t="n"/>
      <c r="X63" s="65" t="n"/>
      <c r="Y63" s="65" t="n"/>
      <c r="Z63" s="2" t="n"/>
    </row>
    <row r="64" ht="14.25" customFormat="1" customHeight="1" s="55">
      <c r="A64" s="12" t="n"/>
      <c r="B64" s="145" t="inlineStr">
        <is>
          <t>Облачный диск</t>
        </is>
      </c>
      <c r="C64" s="143" t="n"/>
      <c r="D64" s="143" t="n"/>
      <c r="E64" s="144" t="n"/>
      <c r="F64" s="34" t="n"/>
      <c r="G64" s="3" t="n">
        <v>19.61</v>
      </c>
      <c r="H64" s="3" t="n">
        <v>4.26</v>
      </c>
      <c r="I64" s="3" t="n">
        <v>5.04</v>
      </c>
      <c r="J64" s="66" t="n">
        <v>5.24</v>
      </c>
      <c r="K64" s="66" t="n">
        <v>5.46</v>
      </c>
      <c r="L64" s="3" t="n">
        <v>20</v>
      </c>
      <c r="M64" s="36" t="n"/>
      <c r="N64" s="26">
        <f>IFERROR(G64/G$82,"")</f>
        <v/>
      </c>
      <c r="O64" s="26">
        <f>IFERROR(H64/H$82,"")</f>
        <v/>
      </c>
      <c r="P64" s="26">
        <f>IFERROR(I64/I$82,"")</f>
        <v/>
      </c>
      <c r="Q64" s="26">
        <f>IFERROR(J64/J$82,"")</f>
        <v/>
      </c>
      <c r="R64" s="26">
        <f>IFERROR(K64/K$82,"")</f>
        <v/>
      </c>
      <c r="S64" s="26">
        <f>IFERROR(L64/L$82,"")</f>
        <v/>
      </c>
      <c r="T64" s="36" t="n"/>
      <c r="U64" s="2" t="n"/>
      <c r="V64" s="2" t="n"/>
      <c r="W64" s="2" t="n"/>
      <c r="X64" s="65" t="n"/>
      <c r="Y64" s="65" t="n"/>
      <c r="Z64" s="2" t="n"/>
    </row>
    <row r="65" ht="14.25" customFormat="1" customHeight="1" s="55">
      <c r="A65" s="12" t="n"/>
      <c r="B65" s="145" t="inlineStr">
        <is>
          <t>Конструкторы сайтов, CMS</t>
        </is>
      </c>
      <c r="C65" s="143" t="n"/>
      <c r="D65" s="143" t="n"/>
      <c r="E65" s="144" t="n"/>
      <c r="F65" s="34" t="n"/>
      <c r="G65" s="3" t="n">
        <v>0</v>
      </c>
      <c r="H65" s="3" t="n">
        <v>2.13</v>
      </c>
      <c r="I65" s="3" t="n">
        <v>2.52</v>
      </c>
      <c r="J65" s="66" t="n">
        <v>2.62</v>
      </c>
      <c r="K65" s="66" t="n">
        <v>2.73</v>
      </c>
      <c r="L65" s="3" t="n">
        <v>10</v>
      </c>
      <c r="M65" s="36" t="n"/>
      <c r="N65" s="26">
        <f>IFERROR(G65/G$82,"")</f>
        <v/>
      </c>
      <c r="O65" s="26">
        <f>IFERROR(H65/H$82,"")</f>
        <v/>
      </c>
      <c r="P65" s="26">
        <f>IFERROR(I65/I$82,"")</f>
        <v/>
      </c>
      <c r="Q65" s="26">
        <f>IFERROR(J65/J$82,"")</f>
        <v/>
      </c>
      <c r="R65" s="26">
        <f>IFERROR(K65/K$82,"")</f>
        <v/>
      </c>
      <c r="S65" s="26">
        <f>IFERROR(L65/L$82,"")</f>
        <v/>
      </c>
      <c r="T65" s="36" t="n"/>
      <c r="U65" s="2" t="n"/>
      <c r="V65" s="2" t="n"/>
      <c r="W65" s="2" t="n"/>
      <c r="X65" s="65" t="n"/>
      <c r="Y65" s="65" t="n"/>
      <c r="Z65" s="2" t="n"/>
    </row>
    <row r="66" ht="14.25" customFormat="1" customHeight="1" s="55">
      <c r="A66" s="12" t="n"/>
      <c r="B66" s="145" t="inlineStr">
        <is>
          <t>Чаты</t>
        </is>
      </c>
      <c r="C66" s="143" t="n"/>
      <c r="D66" s="143" t="n"/>
      <c r="E66" s="144" t="n"/>
      <c r="F66" s="34" t="n"/>
      <c r="G66" s="3" t="n">
        <v>0</v>
      </c>
      <c r="H66" s="3" t="n">
        <v>0</v>
      </c>
      <c r="I66" s="3" t="n">
        <v>0</v>
      </c>
      <c r="J66" s="66" t="n">
        <v>0</v>
      </c>
      <c r="K66" s="66" t="n">
        <v>0</v>
      </c>
      <c r="L66" s="3">
        <f>SUM(H66:K66)</f>
        <v/>
      </c>
      <c r="M66" s="36" t="n"/>
      <c r="N66" s="26">
        <f>IFERROR(G66/G$82,"")</f>
        <v/>
      </c>
      <c r="O66" s="26">
        <f>IFERROR(H66/H$82,"")</f>
        <v/>
      </c>
      <c r="P66" s="26">
        <f>IFERROR(I66/I$82,"")</f>
        <v/>
      </c>
      <c r="Q66" s="26">
        <f>IFERROR(J66/J$82,"")</f>
        <v/>
      </c>
      <c r="R66" s="26">
        <f>IFERROR(K66/K$82,"")</f>
        <v/>
      </c>
      <c r="S66" s="26">
        <f>IFERROR(L66/L$82,"")</f>
        <v/>
      </c>
      <c r="T66" s="36" t="n"/>
      <c r="U66" s="2" t="n"/>
      <c r="V66" s="2" t="n"/>
      <c r="W66" s="2" t="n"/>
      <c r="X66" s="65" t="n"/>
      <c r="Y66" s="65" t="n"/>
      <c r="Z66" s="2" t="n"/>
    </row>
    <row r="67" ht="14.25" customFormat="1" customHeight="1" s="55">
      <c r="A67" s="12" t="n"/>
      <c r="B67" s="145" t="inlineStr">
        <is>
          <t>Анализ сайтов, соц. сетей</t>
        </is>
      </c>
      <c r="C67" s="143" t="n"/>
      <c r="D67" s="143" t="n"/>
      <c r="E67" s="144" t="n"/>
      <c r="F67" s="34" t="n"/>
      <c r="G67" s="3" t="n">
        <v>0</v>
      </c>
      <c r="H67" s="3" t="n">
        <v>0</v>
      </c>
      <c r="I67" s="3" t="n">
        <v>0</v>
      </c>
      <c r="J67" s="66" t="n">
        <v>0</v>
      </c>
      <c r="K67" s="66" t="n">
        <v>0</v>
      </c>
      <c r="L67" s="3">
        <f>SUM(H67:K67)</f>
        <v/>
      </c>
      <c r="M67" s="36" t="n"/>
      <c r="N67" s="26">
        <f>IFERROR(G67/G$82,"")</f>
        <v/>
      </c>
      <c r="O67" s="26">
        <f>IFERROR(H67/H$82,"")</f>
        <v/>
      </c>
      <c r="P67" s="26">
        <f>IFERROR(I67/I$82,"")</f>
        <v/>
      </c>
      <c r="Q67" s="26">
        <f>IFERROR(J67/J$82,"")</f>
        <v/>
      </c>
      <c r="R67" s="26">
        <f>IFERROR(K67/K$82,"")</f>
        <v/>
      </c>
      <c r="S67" s="26">
        <f>IFERROR(L67/L$82,"")</f>
        <v/>
      </c>
      <c r="T67" s="36" t="n"/>
      <c r="U67" s="2" t="n"/>
      <c r="V67" s="2" t="n"/>
      <c r="W67" s="2" t="n"/>
      <c r="X67" s="65" t="n"/>
      <c r="Y67" s="65" t="n"/>
      <c r="Z67" s="2" t="n"/>
    </row>
    <row r="68" ht="14.25" customFormat="1" customHeight="1" s="55">
      <c r="A68" s="12" t="n"/>
      <c r="B68" s="145" t="inlineStr">
        <is>
          <t>Видеоконференции, вебинары, системы обучения</t>
        </is>
      </c>
      <c r="C68" s="143" t="n"/>
      <c r="D68" s="143" t="n"/>
      <c r="E68" s="144" t="n"/>
      <c r="F68" s="34" t="n"/>
      <c r="G68" s="3" t="n">
        <v>0</v>
      </c>
      <c r="H68" s="3" t="n">
        <v>0</v>
      </c>
      <c r="I68" s="3" t="n">
        <v>0</v>
      </c>
      <c r="J68" s="66" t="n">
        <v>0</v>
      </c>
      <c r="K68" s="66" t="n">
        <v>0</v>
      </c>
      <c r="L68" s="3">
        <f>SUM(H68:K68)</f>
        <v/>
      </c>
      <c r="M68" s="36" t="n"/>
      <c r="N68" s="26">
        <f>IFERROR(G68/G$82,"")</f>
        <v/>
      </c>
      <c r="O68" s="26">
        <f>IFERROR(H68/H$82,"")</f>
        <v/>
      </c>
      <c r="P68" s="26">
        <f>IFERROR(I68/I$82,"")</f>
        <v/>
      </c>
      <c r="Q68" s="26">
        <f>IFERROR(J68/J$82,"")</f>
        <v/>
      </c>
      <c r="R68" s="26">
        <f>IFERROR(K68/K$82,"")</f>
        <v/>
      </c>
      <c r="S68" s="26">
        <f>IFERROR(L68/L$82,"")</f>
        <v/>
      </c>
      <c r="T68" s="36" t="n"/>
      <c r="U68" s="2" t="n"/>
      <c r="V68" s="2" t="n"/>
      <c r="W68" s="2" t="n"/>
      <c r="X68" s="65" t="n"/>
      <c r="Y68" s="65" t="n"/>
      <c r="Z68" s="2" t="n"/>
    </row>
    <row r="69" ht="14.25" customFormat="1" customHeight="1" s="55">
      <c r="A69" s="12" t="n"/>
      <c r="B69" s="145" t="inlineStr">
        <is>
          <t>Виртуальные АТС, call-центры (ВАТС с трафиком, без оборудования)</t>
        </is>
      </c>
      <c r="C69" s="143" t="n"/>
      <c r="D69" s="143" t="n"/>
      <c r="E69" s="144" t="n"/>
      <c r="F69" s="34" t="n"/>
      <c r="G69" s="3" t="n">
        <v>0</v>
      </c>
      <c r="H69" s="3" t="n">
        <v>0</v>
      </c>
      <c r="I69" s="3" t="n">
        <v>0</v>
      </c>
      <c r="J69" s="66" t="n">
        <v>0</v>
      </c>
      <c r="K69" s="66" t="n">
        <v>0</v>
      </c>
      <c r="L69" s="3">
        <f>SUM(H69:K69)</f>
        <v/>
      </c>
      <c r="M69" s="36" t="n"/>
      <c r="N69" s="26">
        <f>IFERROR(G69/G$82,"")</f>
        <v/>
      </c>
      <c r="O69" s="26">
        <f>IFERROR(H69/H$82,"")</f>
        <v/>
      </c>
      <c r="P69" s="26">
        <f>IFERROR(I69/I$82,"")</f>
        <v/>
      </c>
      <c r="Q69" s="26">
        <f>IFERROR(J69/J$82,"")</f>
        <v/>
      </c>
      <c r="R69" s="26">
        <f>IFERROR(K69/K$82,"")</f>
        <v/>
      </c>
      <c r="S69" s="26">
        <f>IFERROR(L69/L$82,"")</f>
        <v/>
      </c>
      <c r="T69" s="36" t="n"/>
      <c r="U69" s="2" t="n"/>
      <c r="V69" s="2" t="n"/>
      <c r="W69" s="2" t="n"/>
      <c r="X69" s="65" t="n"/>
      <c r="Y69" s="65" t="n"/>
      <c r="Z69" s="2" t="n"/>
    </row>
    <row r="70" ht="14.25" customFormat="1" customHeight="1" s="55">
      <c r="A70" s="12" t="n"/>
      <c r="B70" s="145" t="inlineStr">
        <is>
          <t>CRM</t>
        </is>
      </c>
      <c r="C70" s="143" t="n"/>
      <c r="D70" s="143" t="n"/>
      <c r="E70" s="144" t="n"/>
      <c r="F70" s="34" t="n"/>
      <c r="G70" s="3" t="n">
        <v>0</v>
      </c>
      <c r="H70" s="3" t="n">
        <v>1.06</v>
      </c>
      <c r="I70" s="3" t="n">
        <v>1.26</v>
      </c>
      <c r="J70" s="66" t="n">
        <v>1.31</v>
      </c>
      <c r="K70" s="66" t="n">
        <v>1.37</v>
      </c>
      <c r="L70" s="3" t="n">
        <v>5</v>
      </c>
      <c r="M70" s="36" t="n"/>
      <c r="N70" s="26">
        <f>IFERROR(G70/G$82,"")</f>
        <v/>
      </c>
      <c r="O70" s="26">
        <f>IFERROR(H70/H$82,"")</f>
        <v/>
      </c>
      <c r="P70" s="26">
        <f>IFERROR(I70/I$82,"")</f>
        <v/>
      </c>
      <c r="Q70" s="26">
        <f>IFERROR(J70/J$82,"")</f>
        <v/>
      </c>
      <c r="R70" s="26">
        <f>IFERROR(K70/K$82,"")</f>
        <v/>
      </c>
      <c r="S70" s="26">
        <f>IFERROR(L70/L$82,"")</f>
        <v/>
      </c>
      <c r="T70" s="36" t="n"/>
      <c r="U70" s="2" t="n"/>
      <c r="V70" s="2" t="n"/>
      <c r="W70" s="2" t="n"/>
      <c r="X70" s="65" t="n"/>
      <c r="Y70" s="65" t="n"/>
      <c r="Z70" s="2" t="n"/>
    </row>
    <row r="71" ht="14.25" customFormat="1" customHeight="1" s="55">
      <c r="A71" s="12" t="n"/>
      <c r="B71" s="145" t="inlineStr">
        <is>
          <t>ERP, SCM, SRM, WMS, отдельные элементы</t>
        </is>
      </c>
      <c r="C71" s="143" t="n"/>
      <c r="D71" s="143" t="n"/>
      <c r="E71" s="144" t="n"/>
      <c r="F71" s="34" t="n"/>
      <c r="G71" s="3" t="n">
        <v>0</v>
      </c>
      <c r="H71" s="3" t="n">
        <v>2.13</v>
      </c>
      <c r="I71" s="3" t="n">
        <v>2.52</v>
      </c>
      <c r="J71" s="66" t="n">
        <v>2.62</v>
      </c>
      <c r="K71" s="66" t="n">
        <v>2.73</v>
      </c>
      <c r="L71" s="3" t="n">
        <v>10</v>
      </c>
      <c r="M71" s="36" t="n"/>
      <c r="N71" s="26">
        <f>IFERROR(G71/G$82,"")</f>
        <v/>
      </c>
      <c r="O71" s="26">
        <f>IFERROR(H71/H$82,"")</f>
        <v/>
      </c>
      <c r="P71" s="26">
        <f>IFERROR(I71/I$82,"")</f>
        <v/>
      </c>
      <c r="Q71" s="26">
        <f>IFERROR(J71/J$82,"")</f>
        <v/>
      </c>
      <c r="R71" s="26">
        <f>IFERROR(K71/K$82,"")</f>
        <v/>
      </c>
      <c r="S71" s="26">
        <f>IFERROR(L71/L$82,"")</f>
        <v/>
      </c>
      <c r="T71" s="36" t="n"/>
      <c r="U71" s="2" t="n"/>
      <c r="V71" s="2" t="n"/>
      <c r="W71" s="2" t="n"/>
      <c r="X71" s="65" t="n"/>
      <c r="Y71" s="65" t="n"/>
      <c r="Z71" s="2" t="n"/>
    </row>
    <row r="72" ht="14.25" customFormat="1" customHeight="1" s="55">
      <c r="A72" s="12" t="n"/>
      <c r="B72" s="145" t="inlineStr">
        <is>
          <t>Бухгалтерский учет, системы отчетности, ЭДО</t>
        </is>
      </c>
      <c r="C72" s="143" t="n"/>
      <c r="D72" s="143" t="n"/>
      <c r="E72" s="144" t="n"/>
      <c r="F72" s="34" t="n"/>
      <c r="G72" s="3" t="n">
        <v>0</v>
      </c>
      <c r="H72" s="3" t="n">
        <v>6.39</v>
      </c>
      <c r="I72" s="3" t="n">
        <v>7.56</v>
      </c>
      <c r="J72" s="66" t="n">
        <v>7.87</v>
      </c>
      <c r="K72" s="66" t="n">
        <v>8.18</v>
      </c>
      <c r="L72" s="3" t="n">
        <v>30</v>
      </c>
      <c r="M72" s="36" t="n"/>
      <c r="N72" s="26">
        <f>IFERROR(G72/G$82,"")</f>
        <v/>
      </c>
      <c r="O72" s="26">
        <f>IFERROR(H72/H$82,"")</f>
        <v/>
      </c>
      <c r="P72" s="26">
        <f>IFERROR(I72/I$82,"")</f>
        <v/>
      </c>
      <c r="Q72" s="26">
        <f>IFERROR(J72/J$82,"")</f>
        <v/>
      </c>
      <c r="R72" s="26">
        <f>IFERROR(K72/K$82,"")</f>
        <v/>
      </c>
      <c r="S72" s="26">
        <f>IFERROR(L72/L$82,"")</f>
        <v/>
      </c>
      <c r="T72" s="36" t="n"/>
      <c r="U72" s="2" t="n"/>
      <c r="V72" s="2" t="n"/>
      <c r="W72" s="2" t="n"/>
      <c r="X72" s="65" t="n"/>
      <c r="Y72" s="65" t="n"/>
      <c r="Z72" s="2" t="n"/>
    </row>
    <row r="73" ht="14.25" customFormat="1" customHeight="1" s="55">
      <c r="A73" s="12" t="n"/>
      <c r="B73" s="145" t="inlineStr">
        <is>
          <t>Управление персоналом, подбор персонала</t>
        </is>
      </c>
      <c r="C73" s="143" t="n"/>
      <c r="D73" s="143" t="n"/>
      <c r="E73" s="144" t="n"/>
      <c r="F73" s="34" t="n"/>
      <c r="G73" s="3" t="n">
        <v>0</v>
      </c>
      <c r="H73" s="3" t="n">
        <v>0</v>
      </c>
      <c r="I73" s="3" t="n">
        <v>0</v>
      </c>
      <c r="J73" s="66" t="n">
        <v>0</v>
      </c>
      <c r="K73" s="66" t="n">
        <v>0</v>
      </c>
      <c r="L73" s="3">
        <f>SUM(H73:K73)</f>
        <v/>
      </c>
      <c r="M73" s="36" t="n"/>
      <c r="N73" s="26">
        <f>IFERROR(G73/G$82,"")</f>
        <v/>
      </c>
      <c r="O73" s="26">
        <f>IFERROR(H73/H$82,"")</f>
        <v/>
      </c>
      <c r="P73" s="26">
        <f>IFERROR(I73/I$82,"")</f>
        <v/>
      </c>
      <c r="Q73" s="26">
        <f>IFERROR(J73/J$82,"")</f>
        <v/>
      </c>
      <c r="R73" s="26">
        <f>IFERROR(K73/K$82,"")</f>
        <v/>
      </c>
      <c r="S73" s="26">
        <f>IFERROR(L73/L$82,"")</f>
        <v/>
      </c>
      <c r="T73" s="36" t="n"/>
      <c r="U73" s="2" t="n"/>
      <c r="V73" s="2" t="n"/>
      <c r="W73" s="2" t="n"/>
      <c r="X73" s="65" t="n"/>
      <c r="Y73" s="65" t="n"/>
      <c r="Z73" s="2" t="n"/>
    </row>
    <row r="74" ht="14.25" customFormat="1" customHeight="1" s="55">
      <c r="A74" s="12" t="n"/>
      <c r="B74" s="145" t="inlineStr">
        <is>
          <t xml:space="preserve">Корпоративная мобильность </t>
        </is>
      </c>
      <c r="C74" s="143" t="n"/>
      <c r="D74" s="143" t="n"/>
      <c r="E74" s="144" t="n"/>
      <c r="F74" s="34" t="n"/>
      <c r="G74" s="3" t="n">
        <v>0</v>
      </c>
      <c r="H74" s="3" t="n">
        <v>0</v>
      </c>
      <c r="I74" s="3" t="n">
        <v>0</v>
      </c>
      <c r="J74" s="66" t="n">
        <v>0</v>
      </c>
      <c r="K74" s="66" t="n">
        <v>0</v>
      </c>
      <c r="L74" s="3">
        <f>SUM(H74:K74)</f>
        <v/>
      </c>
      <c r="M74" s="36" t="n"/>
      <c r="N74" s="26">
        <f>IFERROR(G74/G$82,"")</f>
        <v/>
      </c>
      <c r="O74" s="26">
        <f>IFERROR(H74/H$82,"")</f>
        <v/>
      </c>
      <c r="P74" s="26">
        <f>IFERROR(I74/I$82,"")</f>
        <v/>
      </c>
      <c r="Q74" s="26">
        <f>IFERROR(J74/J$82,"")</f>
        <v/>
      </c>
      <c r="R74" s="26">
        <f>IFERROR(K74/K$82,"")</f>
        <v/>
      </c>
      <c r="S74" s="26">
        <f>IFERROR(L74/L$82,"")</f>
        <v/>
      </c>
      <c r="T74" s="36" t="n"/>
      <c r="U74" s="2" t="n"/>
      <c r="V74" s="2" t="n"/>
      <c r="W74" s="2" t="n"/>
      <c r="X74" s="65" t="n"/>
      <c r="Y74" s="65" t="n"/>
      <c r="Z74" s="2" t="n"/>
    </row>
    <row r="75" ht="14.25" customFormat="1" customHeight="1" s="55">
      <c r="A75" s="12" t="n"/>
      <c r="B75" s="145" t="inlineStr">
        <is>
          <t>Антивирусы облачные и системы безопасности</t>
        </is>
      </c>
      <c r="C75" s="143" t="n"/>
      <c r="D75" s="143" t="n"/>
      <c r="E75" s="144" t="n"/>
      <c r="F75" s="34" t="n"/>
      <c r="G75" s="3" t="n">
        <v>19.61</v>
      </c>
      <c r="H75" s="3" t="n">
        <v>7.24</v>
      </c>
      <c r="I75" s="3" t="n">
        <v>8.57</v>
      </c>
      <c r="J75" s="66" t="n">
        <v>8.92</v>
      </c>
      <c r="K75" s="66" t="n">
        <v>9.27</v>
      </c>
      <c r="L75" s="3" t="n">
        <v>34</v>
      </c>
      <c r="M75" s="36" t="n"/>
      <c r="N75" s="26">
        <f>IFERROR(G75/G$82,"")</f>
        <v/>
      </c>
      <c r="O75" s="26">
        <f>IFERROR(H75/H$82,"")</f>
        <v/>
      </c>
      <c r="P75" s="26">
        <f>IFERROR(I75/I$82,"")</f>
        <v/>
      </c>
      <c r="Q75" s="26">
        <f>IFERROR(J75/J$82,"")</f>
        <v/>
      </c>
      <c r="R75" s="26">
        <f>IFERROR(K75/K$82,"")</f>
        <v/>
      </c>
      <c r="S75" s="26">
        <f>IFERROR(L75/L$82,"")</f>
        <v/>
      </c>
      <c r="T75" s="36" t="n"/>
      <c r="U75" s="2" t="n"/>
      <c r="V75" s="2" t="n"/>
      <c r="W75" s="2" t="n"/>
      <c r="X75" s="65" t="n"/>
      <c r="Y75" s="65" t="n"/>
      <c r="Z75" s="2" t="n"/>
    </row>
    <row r="76" ht="14.25" customFormat="1" customHeight="1" s="55">
      <c r="A76" s="12" t="n"/>
      <c r="B76" s="145" t="inlineStr">
        <is>
          <t xml:space="preserve">Process Management </t>
        </is>
      </c>
      <c r="C76" s="143" t="n"/>
      <c r="D76" s="143" t="n"/>
      <c r="E76" s="144" t="n"/>
      <c r="F76" s="34" t="n"/>
      <c r="G76" s="3" t="n">
        <v>0</v>
      </c>
      <c r="H76" s="3" t="n">
        <v>0</v>
      </c>
      <c r="I76" s="3" t="n">
        <v>0</v>
      </c>
      <c r="J76" s="66" t="n">
        <v>0</v>
      </c>
      <c r="K76" s="66" t="n">
        <v>0</v>
      </c>
      <c r="L76" s="3">
        <f>SUM(H76:K76)</f>
        <v/>
      </c>
      <c r="M76" s="36" t="n"/>
      <c r="N76" s="26">
        <f>IFERROR(G76/G$82,"")</f>
        <v/>
      </c>
      <c r="O76" s="26">
        <f>IFERROR(H76/H$82,"")</f>
        <v/>
      </c>
      <c r="P76" s="26">
        <f>IFERROR(I76/I$82,"")</f>
        <v/>
      </c>
      <c r="Q76" s="26">
        <f>IFERROR(J76/J$82,"")</f>
        <v/>
      </c>
      <c r="R76" s="26">
        <f>IFERROR(K76/K$82,"")</f>
        <v/>
      </c>
      <c r="S76" s="26">
        <f>IFERROR(L76/L$82,"")</f>
        <v/>
      </c>
      <c r="T76" s="36" t="n"/>
      <c r="U76" s="2" t="n"/>
      <c r="V76" s="2" t="n"/>
      <c r="W76" s="2" t="n"/>
      <c r="X76" s="65" t="n"/>
      <c r="Y76" s="65" t="n"/>
      <c r="Z76" s="2" t="n"/>
    </row>
    <row r="77" ht="14.25" customFormat="1" customHeight="1" s="55">
      <c r="A77" s="12" t="n"/>
      <c r="B77" s="145" t="inlineStr">
        <is>
          <t xml:space="preserve">Process Mining </t>
        </is>
      </c>
      <c r="C77" s="143" t="n"/>
      <c r="D77" s="143" t="n"/>
      <c r="E77" s="144" t="n"/>
      <c r="F77" s="34" t="n"/>
      <c r="G77" s="3" t="n">
        <v>0</v>
      </c>
      <c r="H77" s="3" t="n">
        <v>0</v>
      </c>
      <c r="I77" s="3" t="n">
        <v>0</v>
      </c>
      <c r="J77" s="66" t="n">
        <v>0</v>
      </c>
      <c r="K77" s="66" t="n">
        <v>0</v>
      </c>
      <c r="L77" s="3">
        <f>SUM(H77:K77)</f>
        <v/>
      </c>
      <c r="M77" s="36" t="n"/>
      <c r="N77" s="26">
        <f>IFERROR(G77/G$82,"")</f>
        <v/>
      </c>
      <c r="O77" s="26">
        <f>IFERROR(H77/H$82,"")</f>
        <v/>
      </c>
      <c r="P77" s="26">
        <f>IFERROR(I77/I$82,"")</f>
        <v/>
      </c>
      <c r="Q77" s="26">
        <f>IFERROR(J77/J$82,"")</f>
        <v/>
      </c>
      <c r="R77" s="26">
        <f>IFERROR(K77/K$82,"")</f>
        <v/>
      </c>
      <c r="S77" s="26">
        <f>IFERROR(L77/L$82,"")</f>
        <v/>
      </c>
      <c r="T77" s="36" t="n"/>
      <c r="U77" s="2" t="n"/>
      <c r="V77" s="2" t="n"/>
      <c r="W77" s="2" t="n"/>
      <c r="X77" s="65" t="n"/>
      <c r="Y77" s="65" t="n"/>
      <c r="Z77" s="2" t="n"/>
    </row>
    <row r="78" ht="14.25" customFormat="1" customHeight="1" s="55">
      <c r="A78" s="12" t="n"/>
      <c r="B78" s="145" t="inlineStr">
        <is>
          <t>Системы проведения опросов</t>
        </is>
      </c>
      <c r="C78" s="143" t="n"/>
      <c r="D78" s="143" t="n"/>
      <c r="E78" s="144" t="n"/>
      <c r="F78" s="34" t="n"/>
      <c r="G78" s="3" t="n">
        <v>0</v>
      </c>
      <c r="H78" s="3" t="n">
        <v>0</v>
      </c>
      <c r="I78" s="3" t="n">
        <v>0</v>
      </c>
      <c r="J78" s="66" t="n">
        <v>0</v>
      </c>
      <c r="K78" s="66" t="n">
        <v>0</v>
      </c>
      <c r="L78" s="3">
        <f>SUM(H78:K78)</f>
        <v/>
      </c>
      <c r="M78" s="36" t="n"/>
      <c r="N78" s="26">
        <f>IFERROR(G78/G$82,"")</f>
        <v/>
      </c>
      <c r="O78" s="26">
        <f>IFERROR(H78/H$82,"")</f>
        <v/>
      </c>
      <c r="P78" s="26">
        <f>IFERROR(I78/I$82,"")</f>
        <v/>
      </c>
      <c r="Q78" s="26">
        <f>IFERROR(J78/J$82,"")</f>
        <v/>
      </c>
      <c r="R78" s="26">
        <f>IFERROR(K78/K$82,"")</f>
        <v/>
      </c>
      <c r="S78" s="26">
        <f>IFERROR(L78/L$82,"")</f>
        <v/>
      </c>
      <c r="T78" s="36" t="n"/>
      <c r="U78" s="2" t="n"/>
      <c r="V78" s="2" t="n"/>
      <c r="W78" s="2" t="n"/>
      <c r="X78" s="65" t="n"/>
      <c r="Y78" s="65" t="n"/>
      <c r="Z78" s="2" t="n"/>
    </row>
    <row r="79" ht="14.25" customFormat="1" customHeight="1" s="55">
      <c r="A79" s="12" t="n"/>
      <c r="B79" s="145" t="inlineStr">
        <is>
          <t xml:space="preserve">Облачный гейминг </t>
        </is>
      </c>
      <c r="C79" s="143" t="n"/>
      <c r="D79" s="143" t="n"/>
      <c r="E79" s="144" t="n"/>
      <c r="F79" s="34" t="n"/>
      <c r="G79" s="3" t="n">
        <v>0</v>
      </c>
      <c r="H79" s="3" t="n">
        <v>0</v>
      </c>
      <c r="I79" s="3" t="n">
        <v>0</v>
      </c>
      <c r="J79" s="66" t="n">
        <v>0</v>
      </c>
      <c r="K79" s="66" t="n">
        <v>0</v>
      </c>
      <c r="L79" s="3">
        <f>SUM(H79:K79)</f>
        <v/>
      </c>
      <c r="M79" s="36" t="n"/>
      <c r="N79" s="26">
        <f>IFERROR(G79/G$82,"")</f>
        <v/>
      </c>
      <c r="O79" s="26">
        <f>IFERROR(H79/H$82,"")</f>
        <v/>
      </c>
      <c r="P79" s="26">
        <f>IFERROR(I79/I$82,"")</f>
        <v/>
      </c>
      <c r="Q79" s="26">
        <f>IFERROR(J79/J$82,"")</f>
        <v/>
      </c>
      <c r="R79" s="26">
        <f>IFERROR(K79/K$82,"")</f>
        <v/>
      </c>
      <c r="S79" s="26">
        <f>IFERROR(L79/L$82,"")</f>
        <v/>
      </c>
      <c r="T79" s="36" t="n"/>
      <c r="U79" s="2" t="n"/>
      <c r="V79" s="2" t="n"/>
      <c r="W79" s="2" t="n"/>
      <c r="X79" s="65" t="n"/>
      <c r="Y79" s="65" t="n"/>
      <c r="Z79" s="2" t="n"/>
    </row>
    <row r="80" ht="14.25" customFormat="1" customHeight="1" s="55">
      <c r="A80" s="12" t="n"/>
      <c r="B80" s="145" t="inlineStr">
        <is>
          <t>Облачное видеонаблюдение (без дохода от оборудования)</t>
        </is>
      </c>
      <c r="C80" s="143" t="n"/>
      <c r="D80" s="143" t="n"/>
      <c r="E80" s="144" t="n"/>
      <c r="F80" s="34" t="n"/>
      <c r="G80" s="3" t="n">
        <v>0</v>
      </c>
      <c r="H80" s="3" t="n">
        <v>0</v>
      </c>
      <c r="I80" s="3" t="n">
        <v>0</v>
      </c>
      <c r="J80" s="66" t="n">
        <v>0</v>
      </c>
      <c r="K80" s="66" t="n">
        <v>0</v>
      </c>
      <c r="L80" s="3">
        <f>SUM(H80:K80)</f>
        <v/>
      </c>
      <c r="M80" s="36" t="n"/>
      <c r="N80" s="26">
        <f>IFERROR(G80/G$82,"")</f>
        <v/>
      </c>
      <c r="O80" s="26">
        <f>IFERROR(H80/H$82,"")</f>
        <v/>
      </c>
      <c r="P80" s="26">
        <f>IFERROR(I80/I$82,"")</f>
        <v/>
      </c>
      <c r="Q80" s="26">
        <f>IFERROR(J80/J$82,"")</f>
        <v/>
      </c>
      <c r="R80" s="26">
        <f>IFERROR(K80/K$82,"")</f>
        <v/>
      </c>
      <c r="S80" s="26">
        <f>IFERROR(L80/L$82,"")</f>
        <v/>
      </c>
      <c r="T80" s="36" t="n"/>
      <c r="U80" s="2" t="n"/>
      <c r="V80" s="2" t="n"/>
      <c r="W80" s="2" t="n"/>
      <c r="X80" s="65" t="n"/>
      <c r="Y80" s="65" t="n"/>
      <c r="Z80" s="2" t="n"/>
    </row>
    <row r="81" ht="14.25" customFormat="1" customHeight="1" s="55">
      <c r="A81" s="12" t="n"/>
      <c r="B81" s="146" t="inlineStr">
        <is>
          <t>Другое, укажите что</t>
        </is>
      </c>
      <c r="C81" s="144" t="n"/>
      <c r="D81" s="120" t="n"/>
      <c r="E81" s="139" t="n"/>
      <c r="F81" s="34" t="n"/>
      <c r="G81" s="3" t="n">
        <v>0</v>
      </c>
      <c r="H81" s="3" t="n">
        <v>0</v>
      </c>
      <c r="I81" s="3" t="n">
        <v>0</v>
      </c>
      <c r="J81" s="66" t="n">
        <v>0</v>
      </c>
      <c r="K81" s="66" t="n">
        <v>0</v>
      </c>
      <c r="L81" s="3">
        <f>SUM(H81:K81)</f>
        <v/>
      </c>
      <c r="M81" s="36" t="n"/>
      <c r="N81" s="26">
        <f>IFERROR(G81/G$82,"")</f>
        <v/>
      </c>
      <c r="O81" s="26">
        <f>IFERROR(H81/H$82,"")</f>
        <v/>
      </c>
      <c r="P81" s="26">
        <f>IFERROR(I81/I$82,"")</f>
        <v/>
      </c>
      <c r="Q81" s="26">
        <f>IFERROR(J81/J$82,"")</f>
        <v/>
      </c>
      <c r="R81" s="26">
        <f>IFERROR(K81/K$82,"")</f>
        <v/>
      </c>
      <c r="S81" s="26">
        <f>IFERROR(L81/L$82,"")</f>
        <v/>
      </c>
      <c r="T81" s="36" t="n"/>
      <c r="U81" s="2" t="n"/>
      <c r="V81" s="2" t="n"/>
      <c r="W81" s="2" t="n"/>
      <c r="X81" s="65" t="n"/>
      <c r="Y81" s="65" t="n"/>
      <c r="Z81" s="2" t="n"/>
    </row>
    <row r="82" ht="14.25" customFormat="1" customHeight="1" s="55">
      <c r="A82" s="12" t="n"/>
      <c r="B82" s="119" t="inlineStr">
        <is>
          <t>Всего 100% от услуг SaaS</t>
        </is>
      </c>
      <c r="C82" s="143" t="n"/>
      <c r="D82" s="143" t="n"/>
      <c r="E82" s="144" t="n"/>
      <c r="F82" s="87" t="n"/>
      <c r="G82" s="7">
        <f>SUM(G62:G81)</f>
        <v/>
      </c>
      <c r="H82" s="7">
        <f>SUM(H62:H81)</f>
        <v/>
      </c>
      <c r="I82" s="7">
        <f>SUM(I62:I81)</f>
        <v/>
      </c>
      <c r="J82" s="7">
        <f>SUM(J62:J81)</f>
        <v/>
      </c>
      <c r="K82" s="7">
        <f>SUM(K62:K81)</f>
        <v/>
      </c>
      <c r="L82" s="7">
        <f>SUM(L62:L81)</f>
        <v/>
      </c>
      <c r="M82" s="5" t="n"/>
      <c r="N82" s="57">
        <f>SUM(N62:N81)</f>
        <v/>
      </c>
      <c r="O82" s="57">
        <f>SUM(O62:O81)</f>
        <v/>
      </c>
      <c r="P82" s="57">
        <f>SUM(P62:P81)</f>
        <v/>
      </c>
      <c r="Q82" s="57">
        <f>SUM(Q62:Q81)</f>
        <v/>
      </c>
      <c r="R82" s="57">
        <f>SUM(R62:R81)</f>
        <v/>
      </c>
      <c r="S82" s="57">
        <f>SUM(S62:S81)</f>
        <v/>
      </c>
      <c r="T82" s="5" t="n"/>
      <c r="U82" s="32" t="n"/>
      <c r="V82" s="32" t="n"/>
      <c r="W82" s="32" t="n"/>
      <c r="X82" s="32" t="n"/>
      <c r="Y82" s="32" t="n"/>
      <c r="Z82" s="32" t="n"/>
    </row>
    <row r="83" ht="14.25" customFormat="1" customHeight="1" s="55">
      <c r="A83" s="12" t="n"/>
      <c r="B83" s="95" t="inlineStr">
        <is>
          <t>Таблица 5</t>
        </is>
      </c>
      <c r="C83" s="143" t="n"/>
      <c r="D83" s="143" t="n"/>
      <c r="E83" s="143" t="n"/>
      <c r="F83" s="20" t="n"/>
      <c r="G83" s="52" t="inlineStr">
        <is>
          <t>итог</t>
        </is>
      </c>
      <c r="H83" s="52" t="inlineStr">
        <is>
          <t>итог</t>
        </is>
      </c>
      <c r="I83" s="52" t="inlineStr">
        <is>
          <t>итог</t>
        </is>
      </c>
      <c r="J83" s="52" t="inlineStr">
        <is>
          <t>прогноз</t>
        </is>
      </c>
      <c r="K83" s="52" t="inlineStr">
        <is>
          <t>прогноз</t>
        </is>
      </c>
      <c r="L83" s="52" t="inlineStr">
        <is>
          <t>прогноз</t>
        </is>
      </c>
      <c r="M83" s="6" t="n"/>
      <c r="N83" s="52" t="inlineStr">
        <is>
          <t>итог</t>
        </is>
      </c>
      <c r="O83" s="52" t="inlineStr">
        <is>
          <t>итог</t>
        </is>
      </c>
      <c r="P83" s="52" t="inlineStr">
        <is>
          <t>итог</t>
        </is>
      </c>
      <c r="Q83" s="52" t="inlineStr">
        <is>
          <t>прогноз</t>
        </is>
      </c>
      <c r="R83" s="52" t="inlineStr">
        <is>
          <t>прогноз</t>
        </is>
      </c>
      <c r="S83" s="52" t="inlineStr">
        <is>
          <t>прогноз</t>
        </is>
      </c>
      <c r="T83" s="5" t="n"/>
      <c r="U83" s="52" t="inlineStr">
        <is>
          <t>итог</t>
        </is>
      </c>
      <c r="V83" s="52" t="inlineStr">
        <is>
          <t>итог</t>
        </is>
      </c>
      <c r="W83" s="52" t="inlineStr">
        <is>
          <t>итог</t>
        </is>
      </c>
      <c r="X83" s="52" t="inlineStr">
        <is>
          <t>прогноз</t>
        </is>
      </c>
      <c r="Y83" s="52" t="inlineStr">
        <is>
          <t>прогноз</t>
        </is>
      </c>
      <c r="Z83" s="52" t="inlineStr">
        <is>
          <t>прогноз</t>
        </is>
      </c>
    </row>
    <row r="84" ht="14.25" customFormat="1" customHeight="1" s="55">
      <c r="A84" s="12" t="n"/>
      <c r="B84" s="122" t="inlineStr">
        <is>
          <t>Сетевые услуги</t>
        </is>
      </c>
      <c r="C84" s="143" t="n"/>
      <c r="D84" s="143" t="n"/>
      <c r="E84" s="144" t="n"/>
      <c r="F84" s="113" t="inlineStr">
        <is>
          <t>Продукты</t>
        </is>
      </c>
      <c r="G84" s="13" t="n">
        <v>2025</v>
      </c>
      <c r="H84" s="13" t="inlineStr">
        <is>
          <t>1q 2026</t>
        </is>
      </c>
      <c r="I84" s="13" t="inlineStr">
        <is>
          <t>2q 2026</t>
        </is>
      </c>
      <c r="J84" s="13" t="inlineStr">
        <is>
          <t>3q 2026</t>
        </is>
      </c>
      <c r="K84" s="13" t="inlineStr">
        <is>
          <t>4q 2026</t>
        </is>
      </c>
      <c r="L84" s="13" t="n">
        <v>2026</v>
      </c>
      <c r="M84" s="5" t="n"/>
      <c r="N84" s="13" t="n">
        <v>2025</v>
      </c>
      <c r="O84" s="13" t="inlineStr">
        <is>
          <t>1q 2026</t>
        </is>
      </c>
      <c r="P84" s="13" t="inlineStr">
        <is>
          <t>2q 2026</t>
        </is>
      </c>
      <c r="Q84" s="13" t="inlineStr">
        <is>
          <t>3q 2026</t>
        </is>
      </c>
      <c r="R84" s="13" t="inlineStr">
        <is>
          <t>4q 2026</t>
        </is>
      </c>
      <c r="S84" s="13" t="n">
        <v>2026</v>
      </c>
      <c r="T84" s="5" t="n"/>
      <c r="U84" s="13" t="n">
        <v>2025</v>
      </c>
      <c r="V84" s="13" t="inlineStr">
        <is>
          <t>1q 2026</t>
        </is>
      </c>
      <c r="W84" s="13" t="inlineStr">
        <is>
          <t>2q 2026</t>
        </is>
      </c>
      <c r="X84" s="13" t="inlineStr">
        <is>
          <t>3q 2026</t>
        </is>
      </c>
      <c r="Y84" s="13" t="inlineStr">
        <is>
          <t>4q 2026</t>
        </is>
      </c>
      <c r="Z84" s="13" t="n">
        <v>2026</v>
      </c>
    </row>
    <row r="85" ht="14.25" customFormat="1" customHeight="1" s="55">
      <c r="A85" s="12" t="n"/>
      <c r="B85" s="145" t="inlineStr">
        <is>
          <t>Сетевая безопасность (включая NGFW/UTM, сетевое детектирование и реагирование, предотвращение вторжений)</t>
        </is>
      </c>
      <c r="C85" s="143" t="n"/>
      <c r="D85" s="143" t="n"/>
      <c r="E85" s="144" t="n"/>
      <c r="F85" s="34" t="n"/>
      <c r="G85" s="3" t="n">
        <v>2.46</v>
      </c>
      <c r="H85" s="3" t="n">
        <v>11.92</v>
      </c>
      <c r="I85" s="3" t="n">
        <v>14.12</v>
      </c>
      <c r="J85" s="66" t="n">
        <v>14.69</v>
      </c>
      <c r="K85" s="66" t="n">
        <v>15.27</v>
      </c>
      <c r="L85" s="3" t="n">
        <v>56</v>
      </c>
      <c r="M85" s="36" t="n"/>
      <c r="N85" s="26">
        <f>IFERROR(G85/G$95,"")</f>
        <v/>
      </c>
      <c r="O85" s="26">
        <f>IFERROR(H85/H$95,"")</f>
        <v/>
      </c>
      <c r="P85" s="26">
        <f>IFERROR(I85/I$95,"")</f>
        <v/>
      </c>
      <c r="Q85" s="26">
        <f>IFERROR(J85/J$95,"")</f>
        <v/>
      </c>
      <c r="R85" s="26">
        <f>IFERROR(K85/K$95,"")</f>
        <v/>
      </c>
      <c r="S85" s="26">
        <f>IFERROR(L85/L$95,"")</f>
        <v/>
      </c>
      <c r="T85" s="36" t="n"/>
      <c r="U85" s="2" t="n"/>
      <c r="V85" s="2" t="n"/>
      <c r="W85" s="2" t="n"/>
      <c r="X85" s="65" t="n"/>
      <c r="Y85" s="65" t="n"/>
      <c r="Z85" s="2" t="n"/>
    </row>
    <row r="86" ht="14.25" customFormat="1" customHeight="1" s="55">
      <c r="A86" s="12" t="n"/>
      <c r="B86" s="145" t="inlineStr">
        <is>
          <t>VPN каналы</t>
        </is>
      </c>
      <c r="C86" s="143" t="n"/>
      <c r="D86" s="143" t="n"/>
      <c r="E86" s="144" t="n"/>
      <c r="F86" s="34" t="n"/>
      <c r="G86" s="3" t="n">
        <v>10.93</v>
      </c>
      <c r="H86" s="3" t="n">
        <v>8.52</v>
      </c>
      <c r="I86" s="3" t="n">
        <v>10.09</v>
      </c>
      <c r="J86" s="66" t="n">
        <v>10.49</v>
      </c>
      <c r="K86" s="66" t="n">
        <v>10.9</v>
      </c>
      <c r="L86" s="3" t="n">
        <v>40</v>
      </c>
      <c r="M86" s="36" t="n"/>
      <c r="N86" s="26">
        <f>IFERROR(G86/G$95,"")</f>
        <v/>
      </c>
      <c r="O86" s="26">
        <f>IFERROR(H86/H$95,"")</f>
        <v/>
      </c>
      <c r="P86" s="26">
        <f>IFERROR(I86/I$95,"")</f>
        <v/>
      </c>
      <c r="Q86" s="26">
        <f>IFERROR(J86/J$95,"")</f>
        <v/>
      </c>
      <c r="R86" s="26">
        <f>IFERROR(K86/K$95,"")</f>
        <v/>
      </c>
      <c r="S86" s="26">
        <f>IFERROR(L86/L$95,"")</f>
        <v/>
      </c>
      <c r="T86" s="36" t="n"/>
      <c r="U86" s="2" t="n"/>
      <c r="V86" s="2" t="n"/>
      <c r="W86" s="2" t="n"/>
      <c r="X86" s="65" t="n"/>
      <c r="Y86" s="65" t="n"/>
      <c r="Z86" s="2" t="n"/>
    </row>
    <row r="87" ht="14.25" customFormat="1" customHeight="1" s="55">
      <c r="A87" s="12" t="n"/>
      <c r="B87" s="145" t="inlineStr">
        <is>
          <t>ГОСТ-VPN</t>
        </is>
      </c>
      <c r="C87" s="143" t="n"/>
      <c r="D87" s="143" t="n"/>
      <c r="E87" s="144" t="n"/>
      <c r="F87" s="34" t="n"/>
      <c r="G87" s="3" t="n">
        <v>7.31</v>
      </c>
      <c r="H87" s="3" t="n">
        <v>8.52</v>
      </c>
      <c r="I87" s="3" t="n">
        <v>10.09</v>
      </c>
      <c r="J87" s="66" t="n">
        <v>10.49</v>
      </c>
      <c r="K87" s="66" t="n">
        <v>10.9</v>
      </c>
      <c r="L87" s="3" t="n">
        <v>40</v>
      </c>
      <c r="M87" s="36" t="n"/>
      <c r="N87" s="26">
        <f>IFERROR(G87/G$95,"")</f>
        <v/>
      </c>
      <c r="O87" s="26">
        <f>IFERROR(H87/H$95,"")</f>
        <v/>
      </c>
      <c r="P87" s="26">
        <f>IFERROR(I87/I$95,"")</f>
        <v/>
      </c>
      <c r="Q87" s="26">
        <f>IFERROR(J87/J$95,"")</f>
        <v/>
      </c>
      <c r="R87" s="26">
        <f>IFERROR(K87/K$95,"")</f>
        <v/>
      </c>
      <c r="S87" s="26">
        <f>IFERROR(L87/L$95,"")</f>
        <v/>
      </c>
      <c r="T87" s="36" t="n"/>
      <c r="U87" s="2" t="n"/>
      <c r="V87" s="2" t="n"/>
      <c r="W87" s="2" t="n"/>
      <c r="X87" s="65" t="n"/>
      <c r="Y87" s="65" t="n"/>
      <c r="Z87" s="2" t="n"/>
    </row>
    <row r="88" ht="14.25" customFormat="1" customHeight="1" s="55">
      <c r="A88" s="12" t="n"/>
      <c r="B88" s="145" t="inlineStr">
        <is>
          <t>Cloud SDN</t>
        </is>
      </c>
      <c r="C88" s="143" t="n"/>
      <c r="D88" s="143" t="n"/>
      <c r="E88" s="144" t="n"/>
      <c r="F88" s="34" t="n"/>
      <c r="G88" s="3" t="n">
        <v>0</v>
      </c>
      <c r="H88" s="3" t="n">
        <v>2.13</v>
      </c>
      <c r="I88" s="3" t="n">
        <v>2.52</v>
      </c>
      <c r="J88" s="66" t="n">
        <v>2.62</v>
      </c>
      <c r="K88" s="66" t="n">
        <v>2.73</v>
      </c>
      <c r="L88" s="3" t="n">
        <v>10</v>
      </c>
      <c r="M88" s="36" t="n"/>
      <c r="N88" s="26">
        <f>IFERROR(G88/G$95,"")</f>
        <v/>
      </c>
      <c r="O88" s="26">
        <f>IFERROR(H88/H$95,"")</f>
        <v/>
      </c>
      <c r="P88" s="26">
        <f>IFERROR(I88/I$95,"")</f>
        <v/>
      </c>
      <c r="Q88" s="26">
        <f>IFERROR(J88/J$95,"")</f>
        <v/>
      </c>
      <c r="R88" s="26">
        <f>IFERROR(K88/K$95,"")</f>
        <v/>
      </c>
      <c r="S88" s="26">
        <f>IFERROR(L88/L$95,"")</f>
        <v/>
      </c>
      <c r="T88" s="36" t="n"/>
      <c r="U88" s="2" t="n"/>
      <c r="V88" s="2" t="n"/>
      <c r="W88" s="2" t="n"/>
      <c r="X88" s="65" t="n"/>
      <c r="Y88" s="65" t="n"/>
      <c r="Z88" s="2" t="n"/>
    </row>
    <row r="89" ht="14.25" customFormat="1" customHeight="1" s="55">
      <c r="A89" s="12" t="n"/>
      <c r="B89" s="145" t="inlineStr">
        <is>
          <t>SD-WAN</t>
        </is>
      </c>
      <c r="C89" s="143" t="n"/>
      <c r="D89" s="143" t="n"/>
      <c r="E89" s="144" t="n"/>
      <c r="F89" s="34" t="n"/>
      <c r="G89" s="3" t="n">
        <v>0</v>
      </c>
      <c r="H89" s="3" t="n">
        <v>2.13</v>
      </c>
      <c r="I89" s="3" t="n">
        <v>2.52</v>
      </c>
      <c r="J89" s="66" t="n">
        <v>2.62</v>
      </c>
      <c r="K89" s="66" t="n">
        <v>2.73</v>
      </c>
      <c r="L89" s="3" t="n">
        <v>10</v>
      </c>
      <c r="M89" s="36" t="n"/>
      <c r="N89" s="26">
        <f>IFERROR(G89/G$95,"")</f>
        <v/>
      </c>
      <c r="O89" s="26">
        <f>IFERROR(H89/H$95,"")</f>
        <v/>
      </c>
      <c r="P89" s="26">
        <f>IFERROR(I89/I$95,"")</f>
        <v/>
      </c>
      <c r="Q89" s="26">
        <f>IFERROR(J89/J$95,"")</f>
        <v/>
      </c>
      <c r="R89" s="26">
        <f>IFERROR(K89/K$95,"")</f>
        <v/>
      </c>
      <c r="S89" s="26">
        <f>IFERROR(L89/L$95,"")</f>
        <v/>
      </c>
      <c r="T89" s="36" t="n"/>
      <c r="U89" s="2" t="n"/>
      <c r="V89" s="2" t="n"/>
      <c r="W89" s="2" t="n"/>
      <c r="X89" s="65" t="n"/>
      <c r="Y89" s="65" t="n"/>
      <c r="Z89" s="2" t="n"/>
    </row>
    <row r="90" ht="14.25" customFormat="1" customHeight="1" s="55">
      <c r="A90" s="12" t="n"/>
      <c r="B90" s="145" t="inlineStr">
        <is>
          <t>ГОСТ-VPN</t>
        </is>
      </c>
      <c r="C90" s="143" t="n"/>
      <c r="D90" s="143" t="n"/>
      <c r="E90" s="144" t="n"/>
      <c r="F90" s="34" t="n"/>
      <c r="G90" s="3" t="n">
        <v>6.81</v>
      </c>
      <c r="H90" s="3" t="n">
        <v>8.52</v>
      </c>
      <c r="I90" s="3" t="n">
        <v>10.09</v>
      </c>
      <c r="J90" s="66" t="n">
        <v>10.49</v>
      </c>
      <c r="K90" s="66" t="n">
        <v>10.9</v>
      </c>
      <c r="L90" s="3" t="n">
        <v>40</v>
      </c>
      <c r="M90" s="36" t="n"/>
      <c r="N90" s="26">
        <f>IFERROR(G90/G$95,"")</f>
        <v/>
      </c>
      <c r="O90" s="26">
        <f>IFERROR(H90/H$95,"")</f>
        <v/>
      </c>
      <c r="P90" s="26">
        <f>IFERROR(I90/I$95,"")</f>
        <v/>
      </c>
      <c r="Q90" s="26">
        <f>IFERROR(J90/J$95,"")</f>
        <v/>
      </c>
      <c r="R90" s="26">
        <f>IFERROR(K90/K$95,"")</f>
        <v/>
      </c>
      <c r="S90" s="26">
        <f>IFERROR(L90/L$95,"")</f>
        <v/>
      </c>
      <c r="T90" s="36" t="n"/>
      <c r="U90" s="2" t="n"/>
      <c r="V90" s="2" t="n"/>
      <c r="W90" s="2" t="n"/>
      <c r="X90" s="65" t="n"/>
      <c r="Y90" s="65" t="n"/>
      <c r="Z90" s="2" t="n"/>
    </row>
    <row r="91" ht="14.25" customFormat="1" customHeight="1" s="55">
      <c r="A91" s="12" t="n"/>
      <c r="B91" s="145" t="inlineStr">
        <is>
          <t>Выделение IP</t>
        </is>
      </c>
      <c r="C91" s="143" t="n"/>
      <c r="D91" s="143" t="n"/>
      <c r="E91" s="144" t="n"/>
      <c r="F91" s="34" t="n"/>
      <c r="G91" s="3" t="n">
        <v>1.23</v>
      </c>
      <c r="H91" s="3" t="n">
        <v>4.26</v>
      </c>
      <c r="I91" s="3" t="n">
        <v>5.04</v>
      </c>
      <c r="J91" s="66" t="n">
        <v>5.24</v>
      </c>
      <c r="K91" s="66" t="n">
        <v>5.46</v>
      </c>
      <c r="L91" s="3" t="n">
        <v>20</v>
      </c>
      <c r="M91" s="36" t="n"/>
      <c r="N91" s="26">
        <f>IFERROR(G91/G$95,"")</f>
        <v/>
      </c>
      <c r="O91" s="26">
        <f>IFERROR(H91/H$95,"")</f>
        <v/>
      </c>
      <c r="P91" s="26">
        <f>IFERROR(I91/I$95,"")</f>
        <v/>
      </c>
      <c r="Q91" s="26">
        <f>IFERROR(J91/J$95,"")</f>
        <v/>
      </c>
      <c r="R91" s="26">
        <f>IFERROR(K91/K$95,"")</f>
        <v/>
      </c>
      <c r="S91" s="26">
        <f>IFERROR(L91/L$95,"")</f>
        <v/>
      </c>
      <c r="T91" s="36" t="n"/>
      <c r="U91" s="2" t="n"/>
      <c r="V91" s="2" t="n"/>
      <c r="W91" s="2" t="n"/>
      <c r="X91" s="65" t="n"/>
      <c r="Y91" s="65" t="n"/>
      <c r="Z91" s="2" t="n"/>
    </row>
    <row r="92" ht="14.25" customFormat="1" customHeight="1" s="55">
      <c r="A92" s="12" t="n"/>
      <c r="B92" s="75" t="inlineStr">
        <is>
          <t>Доступ в интернет</t>
        </is>
      </c>
      <c r="C92" s="76" t="n"/>
      <c r="D92" s="76" t="n"/>
      <c r="E92" s="77" t="n"/>
      <c r="F92" s="34" t="n"/>
      <c r="G92" s="3" t="n">
        <v>0</v>
      </c>
      <c r="H92" s="3" t="n">
        <v>27.67</v>
      </c>
      <c r="I92" s="3" t="n">
        <v>32.78</v>
      </c>
      <c r="J92" s="66" t="n">
        <v>34.09</v>
      </c>
      <c r="K92" s="66" t="n">
        <v>35.46</v>
      </c>
      <c r="L92" s="3" t="n">
        <v>130</v>
      </c>
      <c r="M92" s="36" t="n"/>
      <c r="N92" s="26">
        <f>IFERROR(G92/G$95,"")</f>
        <v/>
      </c>
      <c r="O92" s="26">
        <f>IFERROR(H92/H$95,"")</f>
        <v/>
      </c>
      <c r="P92" s="26">
        <f>IFERROR(I92/I$95,"")</f>
        <v/>
      </c>
      <c r="Q92" s="26">
        <f>IFERROR(J92/J$95,"")</f>
        <v/>
      </c>
      <c r="R92" s="26">
        <f>IFERROR(K92/K$95,"")</f>
        <v/>
      </c>
      <c r="S92" s="26">
        <f>IFERROR(L92/L$95,"")</f>
        <v/>
      </c>
      <c r="T92" s="36" t="n"/>
      <c r="U92" s="2" t="n"/>
      <c r="V92" s="2" t="n"/>
      <c r="W92" s="2" t="n"/>
      <c r="X92" s="65" t="n"/>
      <c r="Y92" s="65" t="n"/>
      <c r="Z92" s="2" t="n"/>
    </row>
    <row r="93" ht="14.25" customFormat="1" customHeight="1" s="55">
      <c r="A93" s="12" t="n"/>
      <c r="B93" s="145" t="inlineStr">
        <is>
          <t>Прочие сетевые услуги</t>
        </is>
      </c>
      <c r="C93" s="143" t="n"/>
      <c r="D93" s="143" t="n"/>
      <c r="E93" s="144" t="n"/>
      <c r="F93" s="34" t="n"/>
      <c r="G93" s="3" t="n">
        <v>0</v>
      </c>
      <c r="H93" s="3" t="n">
        <v>11.92</v>
      </c>
      <c r="I93" s="3" t="n">
        <v>14.12</v>
      </c>
      <c r="J93" s="66" t="n">
        <v>14.69</v>
      </c>
      <c r="K93" s="66" t="n">
        <v>15.27</v>
      </c>
      <c r="L93" s="3" t="n">
        <v>56</v>
      </c>
      <c r="M93" s="36" t="n"/>
      <c r="N93" s="26">
        <f>IFERROR(G93/G$95,"")</f>
        <v/>
      </c>
      <c r="O93" s="26">
        <f>IFERROR(H93/H$95,"")</f>
        <v/>
      </c>
      <c r="P93" s="26">
        <f>IFERROR(I93/I$95,"")</f>
        <v/>
      </c>
      <c r="Q93" s="26">
        <f>IFERROR(J93/J$95,"")</f>
        <v/>
      </c>
      <c r="R93" s="26">
        <f>IFERROR(K93/K$95,"")</f>
        <v/>
      </c>
      <c r="S93" s="26">
        <f>IFERROR(L93/L$95,"")</f>
        <v/>
      </c>
      <c r="T93" s="36" t="n"/>
      <c r="U93" s="2" t="n"/>
      <c r="V93" s="2" t="n"/>
      <c r="W93" s="2" t="n"/>
      <c r="X93" s="65" t="n"/>
      <c r="Y93" s="65" t="n"/>
      <c r="Z93" s="2" t="n"/>
    </row>
    <row r="94" ht="14.25" customFormat="1" customHeight="1" s="55">
      <c r="A94" s="12" t="n"/>
      <c r="B94" s="145" t="inlineStr">
        <is>
          <t>Другое, укажите что</t>
        </is>
      </c>
      <c r="C94" s="144" t="n"/>
      <c r="D94" s="120" t="n"/>
      <c r="E94" s="139" t="n"/>
      <c r="F94" s="84" t="n"/>
      <c r="G94" s="3" t="n">
        <v>0</v>
      </c>
      <c r="H94" s="3" t="n">
        <v>0</v>
      </c>
      <c r="I94" s="3" t="n">
        <v>0</v>
      </c>
      <c r="J94" s="66" t="n">
        <v>0</v>
      </c>
      <c r="K94" s="66" t="n">
        <v>0</v>
      </c>
      <c r="L94" s="3">
        <f>SUM(H94:K94)</f>
        <v/>
      </c>
      <c r="M94" s="36" t="n"/>
      <c r="N94" s="26">
        <f>IFERROR(G94/G$95,"")</f>
        <v/>
      </c>
      <c r="O94" s="26">
        <f>IFERROR(H94/H$95,"")</f>
        <v/>
      </c>
      <c r="P94" s="26">
        <f>IFERROR(I94/I$95,"")</f>
        <v/>
      </c>
      <c r="Q94" s="26">
        <f>IFERROR(J94/J$95,"")</f>
        <v/>
      </c>
      <c r="R94" s="26">
        <f>IFERROR(K94/K$95,"")</f>
        <v/>
      </c>
      <c r="S94" s="26">
        <f>IFERROR(L94/L$95,"")</f>
        <v/>
      </c>
      <c r="T94" s="36" t="n"/>
      <c r="U94" s="2" t="n"/>
      <c r="V94" s="2" t="n"/>
      <c r="W94" s="2" t="n"/>
      <c r="X94" s="65" t="n"/>
      <c r="Y94" s="65" t="n"/>
      <c r="Z94" s="2" t="n"/>
    </row>
    <row r="95" ht="14.25" customFormat="1" customHeight="1" s="55">
      <c r="A95" s="12" t="n"/>
      <c r="B95" s="119" t="inlineStr">
        <is>
          <t>Всего 100% от сетевых услуг</t>
        </is>
      </c>
      <c r="C95" s="143" t="n"/>
      <c r="D95" s="143" t="n"/>
      <c r="E95" s="144" t="n"/>
      <c r="F95" s="87" t="n"/>
      <c r="G95" s="7">
        <f>SUM(G85:G94)</f>
        <v/>
      </c>
      <c r="H95" s="7">
        <f>SUM(H85:H94)</f>
        <v/>
      </c>
      <c r="I95" s="7">
        <f>SUM(I85:I94)</f>
        <v/>
      </c>
      <c r="J95" s="7">
        <f>SUM(J85:J94)</f>
        <v/>
      </c>
      <c r="K95" s="7">
        <f>SUM(K85:K94)</f>
        <v/>
      </c>
      <c r="L95" s="7">
        <f>SUM(L85:L94)</f>
        <v/>
      </c>
      <c r="M95" s="5" t="n"/>
      <c r="N95" s="57">
        <f>SUM(N85:N94)</f>
        <v/>
      </c>
      <c r="O95" s="57">
        <f>SUM(O85:O94)</f>
        <v/>
      </c>
      <c r="P95" s="57">
        <f>SUM(P85:P94)</f>
        <v/>
      </c>
      <c r="Q95" s="57">
        <f>SUM(Q85:Q94)</f>
        <v/>
      </c>
      <c r="R95" s="57">
        <f>SUM(R85:R94)</f>
        <v/>
      </c>
      <c r="S95" s="57">
        <f>SUM(S85:S94)</f>
        <v/>
      </c>
      <c r="T95" s="5" t="n"/>
      <c r="U95" s="32" t="n"/>
      <c r="V95" s="32" t="n"/>
      <c r="W95" s="32" t="n"/>
      <c r="X95" s="32" t="n"/>
      <c r="Y95" s="32" t="n"/>
      <c r="Z95" s="32" t="n"/>
    </row>
    <row r="96" ht="14.25" customFormat="1" customHeight="1" s="55">
      <c r="A96" s="12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5" t="n"/>
      <c r="T96" s="19" t="n"/>
      <c r="U96" s="19" t="n"/>
      <c r="V96" s="19" t="n"/>
      <c r="W96" s="19" t="n"/>
      <c r="X96" s="19" t="n"/>
      <c r="Y96" s="19" t="n"/>
      <c r="Z96" s="5" t="n"/>
      <c r="AA96" s="19" t="n"/>
    </row>
    <row r="97" ht="14.25" customFormat="1" customHeight="1" s="55">
      <c r="A97" s="12" t="n"/>
      <c r="B97" s="95" t="inlineStr">
        <is>
          <t>Таблица 6</t>
        </is>
      </c>
      <c r="C97" s="143" t="n"/>
      <c r="D97" s="143" t="n"/>
      <c r="E97" s="143" t="n"/>
      <c r="F97" s="20" t="n"/>
      <c r="G97" s="52" t="inlineStr">
        <is>
          <t>итог</t>
        </is>
      </c>
      <c r="H97" s="52" t="inlineStr">
        <is>
          <t>итог</t>
        </is>
      </c>
      <c r="I97" s="52" t="inlineStr">
        <is>
          <t>итог</t>
        </is>
      </c>
      <c r="J97" s="52" t="inlineStr">
        <is>
          <t>прогноз</t>
        </is>
      </c>
      <c r="K97" s="52" t="inlineStr">
        <is>
          <t>прогноз</t>
        </is>
      </c>
      <c r="L97" s="52" t="inlineStr">
        <is>
          <t>прогноз</t>
        </is>
      </c>
      <c r="M97" s="6" t="n"/>
      <c r="N97" s="52" t="inlineStr">
        <is>
          <t>итог</t>
        </is>
      </c>
      <c r="O97" s="52" t="inlineStr">
        <is>
          <t>итог</t>
        </is>
      </c>
      <c r="P97" s="52" t="inlineStr">
        <is>
          <t>итог</t>
        </is>
      </c>
      <c r="Q97" s="52" t="inlineStr">
        <is>
          <t>прогноз</t>
        </is>
      </c>
      <c r="R97" s="52" t="inlineStr">
        <is>
          <t>прогноз</t>
        </is>
      </c>
      <c r="S97" s="52" t="inlineStr">
        <is>
          <t>прогноз</t>
        </is>
      </c>
      <c r="T97" s="5" t="n"/>
      <c r="U97" s="52" t="inlineStr">
        <is>
          <t>итог</t>
        </is>
      </c>
      <c r="V97" s="52" t="inlineStr">
        <is>
          <t>итог</t>
        </is>
      </c>
      <c r="W97" s="52" t="inlineStr">
        <is>
          <t>итог</t>
        </is>
      </c>
      <c r="X97" s="52" t="inlineStr">
        <is>
          <t>прогноз</t>
        </is>
      </c>
      <c r="Y97" s="52" t="inlineStr">
        <is>
          <t>прогноз</t>
        </is>
      </c>
      <c r="Z97" s="52" t="inlineStr">
        <is>
          <t>прогноз</t>
        </is>
      </c>
      <c r="AA97" s="19" t="n"/>
    </row>
    <row r="98" ht="14.25" customFormat="1" customHeight="1" s="55">
      <c r="A98" s="12" t="n"/>
      <c r="B98" s="122" t="inlineStr">
        <is>
          <t>Безопасность, защита инфраструктуры</t>
        </is>
      </c>
      <c r="C98" s="143" t="n"/>
      <c r="D98" s="143" t="n"/>
      <c r="E98" s="144" t="n"/>
      <c r="F98" s="113" t="inlineStr">
        <is>
          <t>Продукты</t>
        </is>
      </c>
      <c r="G98" s="13" t="n">
        <v>2025</v>
      </c>
      <c r="H98" s="13" t="inlineStr">
        <is>
          <t>1q 2026</t>
        </is>
      </c>
      <c r="I98" s="13" t="inlineStr">
        <is>
          <t>2q 2026</t>
        </is>
      </c>
      <c r="J98" s="13" t="inlineStr">
        <is>
          <t>3q 2026</t>
        </is>
      </c>
      <c r="K98" s="13" t="inlineStr">
        <is>
          <t>4q 2026</t>
        </is>
      </c>
      <c r="L98" s="13" t="n">
        <v>2026</v>
      </c>
      <c r="M98" s="5" t="n"/>
      <c r="N98" s="13" t="n">
        <v>2025</v>
      </c>
      <c r="O98" s="13" t="inlineStr">
        <is>
          <t>1q 2026</t>
        </is>
      </c>
      <c r="P98" s="13" t="inlineStr">
        <is>
          <t>2q 2026</t>
        </is>
      </c>
      <c r="Q98" s="13" t="inlineStr">
        <is>
          <t>3q 2026</t>
        </is>
      </c>
      <c r="R98" s="13" t="inlineStr">
        <is>
          <t>4q 2026</t>
        </is>
      </c>
      <c r="S98" s="13" t="n">
        <v>2026</v>
      </c>
      <c r="T98" s="5" t="n"/>
      <c r="U98" s="13" t="n">
        <v>2025</v>
      </c>
      <c r="V98" s="13" t="inlineStr">
        <is>
          <t>1q 2026</t>
        </is>
      </c>
      <c r="W98" s="13" t="inlineStr">
        <is>
          <t>2q 2026</t>
        </is>
      </c>
      <c r="X98" s="13" t="inlineStr">
        <is>
          <t>3q 2026</t>
        </is>
      </c>
      <c r="Y98" s="13" t="inlineStr">
        <is>
          <t>4q 2026</t>
        </is>
      </c>
      <c r="Z98" s="13" t="n">
        <v>2026</v>
      </c>
      <c r="AA98" s="19" t="n"/>
    </row>
    <row r="99" ht="14.25" customFormat="1" customHeight="1" s="55">
      <c r="A99" s="12" t="n"/>
      <c r="B99" s="145" t="inlineStr">
        <is>
          <t>Защита конечных точек</t>
        </is>
      </c>
      <c r="C99" s="143" t="n"/>
      <c r="D99" s="143" t="n"/>
      <c r="E99" s="144" t="n"/>
      <c r="F99" s="34" t="n"/>
      <c r="G99" s="3" t="n">
        <v>2.69</v>
      </c>
      <c r="H99" s="3" t="n">
        <v>4.26</v>
      </c>
      <c r="I99" s="3" t="n">
        <v>5.04</v>
      </c>
      <c r="J99" s="66" t="n">
        <v>5.24</v>
      </c>
      <c r="K99" s="66" t="n">
        <v>5.46</v>
      </c>
      <c r="L99" s="3" t="n">
        <v>20</v>
      </c>
      <c r="M99" s="36" t="n"/>
      <c r="N99" s="26">
        <f>IFERROR(G99/G$106,"")</f>
        <v/>
      </c>
      <c r="O99" s="26">
        <f>IFERROR(H99/H$106,"")</f>
        <v/>
      </c>
      <c r="P99" s="26">
        <f>IFERROR(I99/I$106,"")</f>
        <v/>
      </c>
      <c r="Q99" s="26">
        <f>IFERROR(J99/J$106,"")</f>
        <v/>
      </c>
      <c r="R99" s="26">
        <f>IFERROR(K99/K$106,"")</f>
        <v/>
      </c>
      <c r="S99" s="26">
        <f>IFERROR(L99/L$106,"")</f>
        <v/>
      </c>
      <c r="T99" s="36" t="n"/>
      <c r="U99" s="2" t="n"/>
      <c r="V99" s="2" t="n"/>
      <c r="W99" s="2" t="n"/>
      <c r="X99" s="65" t="n"/>
      <c r="Y99" s="65" t="n"/>
      <c r="Z99" s="2" t="n"/>
      <c r="AA99" s="19" t="n"/>
    </row>
    <row r="100" ht="14.25" customFormat="1" customHeight="1" s="55">
      <c r="A100" s="12" t="n"/>
      <c r="B100" s="145" t="inlineStr">
        <is>
          <t>SIEM, Threat Intelligence</t>
        </is>
      </c>
      <c r="C100" s="143" t="n"/>
      <c r="D100" s="143" t="n"/>
      <c r="E100" s="144" t="n"/>
      <c r="F100" s="34" t="n"/>
      <c r="G100" s="3" t="n">
        <v>2.69</v>
      </c>
      <c r="H100" s="3" t="n">
        <v>3.19</v>
      </c>
      <c r="I100" s="3" t="n">
        <v>3.78</v>
      </c>
      <c r="J100" s="66" t="n">
        <v>3.93</v>
      </c>
      <c r="K100" s="66" t="n">
        <v>4.1</v>
      </c>
      <c r="L100" s="3" t="n">
        <v>15</v>
      </c>
      <c r="M100" s="36" t="n"/>
      <c r="N100" s="26">
        <f>IFERROR(G100/G$106,"")</f>
        <v/>
      </c>
      <c r="O100" s="26">
        <f>IFERROR(H100/H$106,"")</f>
        <v/>
      </c>
      <c r="P100" s="26">
        <f>IFERROR(I100/I$106,"")</f>
        <v/>
      </c>
      <c r="Q100" s="26">
        <f>IFERROR(J100/J$106,"")</f>
        <v/>
      </c>
      <c r="R100" s="26">
        <f>IFERROR(K100/K$106,"")</f>
        <v/>
      </c>
      <c r="S100" s="26">
        <f>IFERROR(L100/L$106,"")</f>
        <v/>
      </c>
      <c r="T100" s="36" t="n"/>
      <c r="U100" s="2" t="n"/>
      <c r="V100" s="2" t="n"/>
      <c r="W100" s="2" t="n"/>
      <c r="X100" s="65" t="n"/>
      <c r="Y100" s="65" t="n"/>
      <c r="Z100" s="2" t="n"/>
      <c r="AA100" s="19" t="n"/>
    </row>
    <row r="101" ht="14.25" customFormat="1" customHeight="1" s="55">
      <c r="A101" s="12" t="n"/>
      <c r="B101" s="145" t="inlineStr">
        <is>
          <t>Защита от DDoS атак</t>
        </is>
      </c>
      <c r="C101" s="143" t="n"/>
      <c r="D101" s="143" t="n"/>
      <c r="E101" s="144" t="n"/>
      <c r="F101" s="34" t="n"/>
      <c r="G101" s="3" t="n">
        <v>6.390000000000001</v>
      </c>
      <c r="H101" s="3" t="n">
        <v>6.39</v>
      </c>
      <c r="I101" s="3" t="n">
        <v>7.56</v>
      </c>
      <c r="J101" s="66" t="n">
        <v>7.87</v>
      </c>
      <c r="K101" s="66" t="n">
        <v>8.18</v>
      </c>
      <c r="L101" s="3" t="n">
        <v>30</v>
      </c>
      <c r="M101" s="36" t="n"/>
      <c r="N101" s="26">
        <f>IFERROR(G101/G$106,"")</f>
        <v/>
      </c>
      <c r="O101" s="26">
        <f>IFERROR(H101/H$106,"")</f>
        <v/>
      </c>
      <c r="P101" s="26">
        <f>IFERROR(I101/I$106,"")</f>
        <v/>
      </c>
      <c r="Q101" s="26">
        <f>IFERROR(J101/J$106,"")</f>
        <v/>
      </c>
      <c r="R101" s="26">
        <f>IFERROR(K101/K$106,"")</f>
        <v/>
      </c>
      <c r="S101" s="26">
        <f>IFERROR(L101/L$106,"")</f>
        <v/>
      </c>
      <c r="T101" s="36" t="n"/>
      <c r="U101" s="2" t="n"/>
      <c r="V101" s="2" t="n"/>
      <c r="W101" s="2" t="n"/>
      <c r="X101" s="65" t="n"/>
      <c r="Y101" s="65" t="n"/>
      <c r="Z101" s="2" t="n"/>
      <c r="AA101" s="19" t="n"/>
    </row>
    <row r="102" ht="14.25" customFormat="1" customHeight="1" s="55">
      <c r="A102" s="12" t="n"/>
      <c r="B102" s="145" t="inlineStr">
        <is>
          <t>Защита веб-приложений (WAF)</t>
        </is>
      </c>
      <c r="C102" s="143" t="n"/>
      <c r="D102" s="143" t="n"/>
      <c r="E102" s="144" t="n"/>
      <c r="F102" s="34" t="n"/>
      <c r="G102" s="3" t="n">
        <v>7.31</v>
      </c>
      <c r="H102" s="3" t="n">
        <v>8.52</v>
      </c>
      <c r="I102" s="3" t="n">
        <v>10.09</v>
      </c>
      <c r="J102" s="66" t="n">
        <v>10.49</v>
      </c>
      <c r="K102" s="66" t="n">
        <v>10.9</v>
      </c>
      <c r="L102" s="3" t="n">
        <v>40</v>
      </c>
      <c r="M102" s="36" t="n"/>
      <c r="N102" s="26">
        <f>IFERROR(G102/G$106,"")</f>
        <v/>
      </c>
      <c r="O102" s="26">
        <f>IFERROR(H102/H$106,"")</f>
        <v/>
      </c>
      <c r="P102" s="26">
        <f>IFERROR(I102/I$106,"")</f>
        <v/>
      </c>
      <c r="Q102" s="26">
        <f>IFERROR(J102/J$106,"")</f>
        <v/>
      </c>
      <c r="R102" s="26">
        <f>IFERROR(K102/K$106,"")</f>
        <v/>
      </c>
      <c r="S102" s="26">
        <f>IFERROR(L102/L$106,"")</f>
        <v/>
      </c>
      <c r="T102" s="36" t="n"/>
      <c r="U102" s="2" t="n"/>
      <c r="V102" s="2" t="n"/>
      <c r="W102" s="2" t="n"/>
      <c r="X102" s="65" t="n"/>
      <c r="Y102" s="65" t="n"/>
      <c r="Z102" s="2" t="n"/>
      <c r="AA102" s="19" t="n"/>
    </row>
    <row r="103" ht="14.25" customFormat="1" customHeight="1" s="55">
      <c r="A103" s="12" t="n"/>
      <c r="B103" s="145" t="inlineStr">
        <is>
          <t>Услуги ИБ (SOC, MSSP, антибот, фишинг и обучение)</t>
        </is>
      </c>
      <c r="C103" s="143" t="n"/>
      <c r="D103" s="143" t="n"/>
      <c r="E103" s="144" t="n"/>
      <c r="F103" s="34" t="n"/>
      <c r="G103" s="3" t="n">
        <v>1.23</v>
      </c>
      <c r="H103" s="3" t="n">
        <v>9.58</v>
      </c>
      <c r="I103" s="3" t="n">
        <v>11.35</v>
      </c>
      <c r="J103" s="66" t="n">
        <v>11.8</v>
      </c>
      <c r="K103" s="66" t="n">
        <v>12.27</v>
      </c>
      <c r="L103" s="3" t="n">
        <v>45</v>
      </c>
      <c r="M103" s="36" t="n"/>
      <c r="N103" s="26">
        <f>IFERROR(G103/G$106,"")</f>
        <v/>
      </c>
      <c r="O103" s="26">
        <f>IFERROR(H103/H$106,"")</f>
        <v/>
      </c>
      <c r="P103" s="26">
        <f>IFERROR(I103/I$106,"")</f>
        <v/>
      </c>
      <c r="Q103" s="26">
        <f>IFERROR(J103/J$106,"")</f>
        <v/>
      </c>
      <c r="R103" s="26">
        <f>IFERROR(K103/K$106,"")</f>
        <v/>
      </c>
      <c r="S103" s="26">
        <f>IFERROR(L103/L$106,"")</f>
        <v/>
      </c>
      <c r="T103" s="36" t="n"/>
      <c r="U103" s="2" t="n"/>
      <c r="V103" s="2" t="n"/>
      <c r="W103" s="2" t="n"/>
      <c r="X103" s="65" t="n"/>
      <c r="Y103" s="65" t="n"/>
      <c r="Z103" s="2" t="n"/>
      <c r="AA103" s="19" t="n"/>
    </row>
    <row r="104" ht="14.25" customFormat="1" customHeight="1" s="55">
      <c r="A104" s="12" t="n"/>
      <c r="B104" s="145" t="inlineStr">
        <is>
          <t>Системы управления доступом (ауетентификация, IDP, PAM, PKI)</t>
        </is>
      </c>
      <c r="C104" s="143" t="n"/>
      <c r="D104" s="143" t="n"/>
      <c r="E104" s="144" t="n"/>
      <c r="F104" s="34" t="n"/>
      <c r="G104" s="3" t="n">
        <v>1.23</v>
      </c>
      <c r="H104" s="3" t="n">
        <v>2.13</v>
      </c>
      <c r="I104" s="3" t="n">
        <v>2.52</v>
      </c>
      <c r="J104" s="66" t="n">
        <v>2.62</v>
      </c>
      <c r="K104" s="66" t="n">
        <v>2.73</v>
      </c>
      <c r="L104" s="3" t="n">
        <v>10</v>
      </c>
      <c r="M104" s="36" t="n"/>
      <c r="N104" s="26">
        <f>IFERROR(G104/G$106,"")</f>
        <v/>
      </c>
      <c r="O104" s="26">
        <f>IFERROR(H104/H$106,"")</f>
        <v/>
      </c>
      <c r="P104" s="26">
        <f>IFERROR(I104/I$106,"")</f>
        <v/>
      </c>
      <c r="Q104" s="26">
        <f>IFERROR(J104/J$106,"")</f>
        <v/>
      </c>
      <c r="R104" s="26">
        <f>IFERROR(K104/K$106,"")</f>
        <v/>
      </c>
      <c r="S104" s="26">
        <f>IFERROR(L104/L$106,"")</f>
        <v/>
      </c>
      <c r="T104" s="36" t="n"/>
      <c r="U104" s="2" t="n"/>
      <c r="V104" s="2" t="n"/>
      <c r="W104" s="2" t="n"/>
      <c r="X104" s="65" t="n"/>
      <c r="Y104" s="65" t="n"/>
      <c r="Z104" s="2" t="n"/>
      <c r="AA104" s="19" t="n"/>
    </row>
    <row r="105" ht="14.25" customFormat="1" customHeight="1" s="55">
      <c r="A105" s="12" t="n"/>
      <c r="B105" s="145" t="inlineStr">
        <is>
          <t>Другое, укажите что</t>
        </is>
      </c>
      <c r="C105" s="144" t="n"/>
      <c r="D105" s="120" t="n"/>
      <c r="E105" s="139" t="n"/>
      <c r="F105" s="84" t="n"/>
      <c r="G105" s="3" t="n">
        <v>0</v>
      </c>
      <c r="H105" s="3" t="n">
        <v>0</v>
      </c>
      <c r="I105" s="3" t="n">
        <v>0</v>
      </c>
      <c r="J105" s="66" t="n">
        <v>0</v>
      </c>
      <c r="K105" s="66" t="n">
        <v>0</v>
      </c>
      <c r="L105" s="3">
        <f>SUM(H105:K105)</f>
        <v/>
      </c>
      <c r="M105" s="36" t="n"/>
      <c r="N105" s="26">
        <f>IFERROR(G105/G$106,"")</f>
        <v/>
      </c>
      <c r="O105" s="26">
        <f>IFERROR(H105/H$106,"")</f>
        <v/>
      </c>
      <c r="P105" s="26">
        <f>IFERROR(I105/I$106,"")</f>
        <v/>
      </c>
      <c r="Q105" s="26">
        <f>IFERROR(J105/J$106,"")</f>
        <v/>
      </c>
      <c r="R105" s="26">
        <f>IFERROR(K105/K$106,"")</f>
        <v/>
      </c>
      <c r="S105" s="26">
        <f>IFERROR(L105/L$106,"")</f>
        <v/>
      </c>
      <c r="T105" s="36" t="n"/>
      <c r="U105" s="2" t="n"/>
      <c r="V105" s="2" t="n"/>
      <c r="W105" s="2" t="n"/>
      <c r="X105" s="65" t="n"/>
      <c r="Y105" s="65" t="n"/>
      <c r="Z105" s="2" t="n"/>
      <c r="AA105" s="19" t="n"/>
    </row>
    <row r="106" ht="14.25" customFormat="1" customHeight="1" s="55">
      <c r="A106" s="12" t="n"/>
      <c r="B106" s="119" t="inlineStr">
        <is>
          <t>Всего 100% от выручки от услуг по защите инфраструктуры</t>
        </is>
      </c>
      <c r="C106" s="143" t="n"/>
      <c r="D106" s="143" t="n"/>
      <c r="E106" s="144" t="n"/>
      <c r="F106" s="87" t="n"/>
      <c r="G106" s="7">
        <f>SUM(G99:G105)</f>
        <v/>
      </c>
      <c r="H106" s="7">
        <f>SUM(H99:H105)</f>
        <v/>
      </c>
      <c r="I106" s="7">
        <f>SUM(I99:I105)</f>
        <v/>
      </c>
      <c r="J106" s="7">
        <f>SUM(J99:J105)</f>
        <v/>
      </c>
      <c r="K106" s="7">
        <f>SUM(K99:K105)</f>
        <v/>
      </c>
      <c r="L106" s="7">
        <f>SUM(L99:L105)</f>
        <v/>
      </c>
      <c r="M106" s="5" t="n"/>
      <c r="N106" s="57">
        <f>SUM(N99:N105)</f>
        <v/>
      </c>
      <c r="O106" s="57">
        <f>SUM(O99:O105)</f>
        <v/>
      </c>
      <c r="P106" s="57">
        <f>SUM(P99:P105)</f>
        <v/>
      </c>
      <c r="Q106" s="57">
        <f>SUM(Q99:Q105)</f>
        <v/>
      </c>
      <c r="R106" s="57">
        <f>SUM(R99:R105)</f>
        <v/>
      </c>
      <c r="S106" s="57">
        <f>SUM(S99:S105)</f>
        <v/>
      </c>
      <c r="T106" s="5" t="n"/>
      <c r="U106" s="32" t="n"/>
      <c r="V106" s="32" t="n"/>
      <c r="W106" s="32" t="n"/>
      <c r="X106" s="32" t="n"/>
      <c r="Y106" s="32" t="n"/>
      <c r="Z106" s="32" t="n"/>
      <c r="AA106" s="19" t="n"/>
    </row>
    <row r="107" ht="14.25" customFormat="1" customHeight="1" s="55">
      <c r="A107" s="12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5" t="n"/>
      <c r="T107" s="19" t="n"/>
      <c r="U107" s="19" t="n"/>
      <c r="V107" s="19" t="n"/>
      <c r="W107" s="19" t="n"/>
      <c r="X107" s="19" t="n"/>
      <c r="Y107" s="19" t="n"/>
      <c r="Z107" s="5" t="n"/>
      <c r="AA107" s="19" t="n"/>
    </row>
    <row r="108" ht="14.25" customFormat="1" customHeight="1" s="55">
      <c r="A108" s="12" t="n"/>
      <c r="B108" s="95" t="inlineStr">
        <is>
          <t>Таблица 7</t>
        </is>
      </c>
      <c r="C108" s="143" t="n"/>
      <c r="D108" s="143" t="n"/>
      <c r="E108" s="143" t="n"/>
      <c r="F108" s="20" t="n"/>
      <c r="G108" s="52" t="inlineStr">
        <is>
          <t>итог</t>
        </is>
      </c>
      <c r="H108" s="52" t="inlineStr">
        <is>
          <t>итог</t>
        </is>
      </c>
      <c r="I108" s="52" t="inlineStr">
        <is>
          <t>итог</t>
        </is>
      </c>
      <c r="J108" s="52" t="inlineStr">
        <is>
          <t>прогноз</t>
        </is>
      </c>
      <c r="K108" s="52" t="inlineStr">
        <is>
          <t>прогноз</t>
        </is>
      </c>
      <c r="L108" s="52" t="inlineStr">
        <is>
          <t>прогноз</t>
        </is>
      </c>
      <c r="M108" s="6" t="n"/>
      <c r="N108" s="52" t="inlineStr">
        <is>
          <t>итог</t>
        </is>
      </c>
      <c r="O108" s="52" t="inlineStr">
        <is>
          <t>итог</t>
        </is>
      </c>
      <c r="P108" s="52" t="inlineStr">
        <is>
          <t>итог</t>
        </is>
      </c>
      <c r="Q108" s="52" t="inlineStr">
        <is>
          <t>прогноз</t>
        </is>
      </c>
      <c r="R108" s="52" t="inlineStr">
        <is>
          <t>прогноз</t>
        </is>
      </c>
      <c r="S108" s="52" t="inlineStr">
        <is>
          <t>прогноз</t>
        </is>
      </c>
      <c r="T108" s="5" t="n"/>
      <c r="U108" s="52" t="inlineStr">
        <is>
          <t>итог</t>
        </is>
      </c>
      <c r="V108" s="52" t="inlineStr">
        <is>
          <t>итог</t>
        </is>
      </c>
      <c r="W108" s="52" t="inlineStr">
        <is>
          <t>итог</t>
        </is>
      </c>
      <c r="X108" s="52" t="inlineStr">
        <is>
          <t>прогноз</t>
        </is>
      </c>
      <c r="Y108" s="52" t="inlineStr">
        <is>
          <t>прогноз</t>
        </is>
      </c>
      <c r="Z108" s="52" t="inlineStr">
        <is>
          <t>прогноз</t>
        </is>
      </c>
    </row>
    <row r="109" ht="14.25" customFormat="1" customHeight="1" s="55">
      <c r="A109" s="12" t="n"/>
      <c r="B109" s="122" t="inlineStr">
        <is>
          <t>Прочие услуги</t>
        </is>
      </c>
      <c r="C109" s="143" t="n"/>
      <c r="D109" s="143" t="n"/>
      <c r="E109" s="144" t="n"/>
      <c r="F109" s="113" t="inlineStr">
        <is>
          <t>Продукты</t>
        </is>
      </c>
      <c r="G109" s="13" t="n">
        <v>2025</v>
      </c>
      <c r="H109" s="13" t="inlineStr">
        <is>
          <t>1q 2026</t>
        </is>
      </c>
      <c r="I109" s="13" t="inlineStr">
        <is>
          <t>2q 2026</t>
        </is>
      </c>
      <c r="J109" s="13" t="inlineStr">
        <is>
          <t>3q 2026</t>
        </is>
      </c>
      <c r="K109" s="13" t="inlineStr">
        <is>
          <t>4q 2026</t>
        </is>
      </c>
      <c r="L109" s="13" t="n">
        <v>2026</v>
      </c>
      <c r="M109" s="5" t="n"/>
      <c r="N109" s="13" t="n">
        <v>2025</v>
      </c>
      <c r="O109" s="13" t="inlineStr">
        <is>
          <t>1q 2026</t>
        </is>
      </c>
      <c r="P109" s="13" t="inlineStr">
        <is>
          <t>2q 2026</t>
        </is>
      </c>
      <c r="Q109" s="13" t="inlineStr">
        <is>
          <t>3q 2026</t>
        </is>
      </c>
      <c r="R109" s="13" t="inlineStr">
        <is>
          <t>4q 2026</t>
        </is>
      </c>
      <c r="S109" s="13" t="n">
        <v>2026</v>
      </c>
      <c r="T109" s="5" t="n"/>
      <c r="U109" s="13" t="n">
        <v>2025</v>
      </c>
      <c r="V109" s="13" t="inlineStr">
        <is>
          <t>1q 2026</t>
        </is>
      </c>
      <c r="W109" s="13" t="inlineStr">
        <is>
          <t>2q 2026</t>
        </is>
      </c>
      <c r="X109" s="13" t="inlineStr">
        <is>
          <t>3q 2026</t>
        </is>
      </c>
      <c r="Y109" s="13" t="inlineStr">
        <is>
          <t>4q 2026</t>
        </is>
      </c>
      <c r="Z109" s="13" t="n">
        <v>2026</v>
      </c>
    </row>
    <row r="110" ht="14.25" customFormat="1" customHeight="1" s="55">
      <c r="A110" s="12" t="n"/>
      <c r="B110" s="145" t="inlineStr">
        <is>
          <t>Услуги по миграции в облако провайдера</t>
        </is>
      </c>
      <c r="C110" s="143" t="n"/>
      <c r="D110" s="143" t="n"/>
      <c r="E110" s="144" t="n"/>
      <c r="F110" s="34" t="n"/>
      <c r="G110" s="3" t="n">
        <v>1.23</v>
      </c>
      <c r="H110" s="3" t="n">
        <v>6.39</v>
      </c>
      <c r="I110" s="3" t="n">
        <v>7.56</v>
      </c>
      <c r="J110" s="66" t="n">
        <v>7.87</v>
      </c>
      <c r="K110" s="66" t="n">
        <v>8.18</v>
      </c>
      <c r="L110" s="3" t="n">
        <v>30</v>
      </c>
      <c r="M110" s="36" t="n"/>
      <c r="N110" s="26">
        <f>IFERROR(G110/G$118,"")</f>
        <v/>
      </c>
      <c r="O110" s="26">
        <f>IFERROR(H110/H$118,"")</f>
        <v/>
      </c>
      <c r="P110" s="26">
        <f>IFERROR(I110/I$118,"")</f>
        <v/>
      </c>
      <c r="Q110" s="26">
        <f>IFERROR(J110/J$118,"")</f>
        <v/>
      </c>
      <c r="R110" s="26">
        <f>IFERROR(K110/K$118,"")</f>
        <v/>
      </c>
      <c r="S110" s="26">
        <f>IFERROR(L110/L$118,"")</f>
        <v/>
      </c>
      <c r="T110" s="36" t="n"/>
      <c r="U110" s="2" t="n"/>
      <c r="V110" s="2" t="n"/>
      <c r="W110" s="2" t="n"/>
      <c r="X110" s="65" t="n"/>
      <c r="Y110" s="65" t="n"/>
      <c r="Z110" s="2" t="n"/>
    </row>
    <row r="111" ht="14.25" customFormat="1" customHeight="1" s="55">
      <c r="A111" s="12" t="n"/>
      <c r="B111" s="145" t="inlineStr">
        <is>
          <t>Управление частным облаком на серверах клиента</t>
        </is>
      </c>
      <c r="C111" s="143" t="n"/>
      <c r="D111" s="143" t="n"/>
      <c r="E111" s="144" t="n"/>
      <c r="F111" s="34" t="n"/>
      <c r="G111" s="3" t="n">
        <v>0</v>
      </c>
      <c r="H111" s="3" t="n">
        <v>4.26</v>
      </c>
      <c r="I111" s="3" t="n">
        <v>5.04</v>
      </c>
      <c r="J111" s="66" t="n">
        <v>5.24</v>
      </c>
      <c r="K111" s="66" t="n">
        <v>5.46</v>
      </c>
      <c r="L111" s="3" t="n">
        <v>20</v>
      </c>
      <c r="M111" s="36" t="n"/>
      <c r="N111" s="26">
        <f>IFERROR(G111/G$118,"")</f>
        <v/>
      </c>
      <c r="O111" s="26">
        <f>IFERROR(H111/H$118,"")</f>
        <v/>
      </c>
      <c r="P111" s="26">
        <f>IFERROR(I111/I$118,"")</f>
        <v/>
      </c>
      <c r="Q111" s="26">
        <f>IFERROR(J111/J$118,"")</f>
        <v/>
      </c>
      <c r="R111" s="26">
        <f>IFERROR(K111/K$118,"")</f>
        <v/>
      </c>
      <c r="S111" s="26">
        <f>IFERROR(L111/L$118,"")</f>
        <v/>
      </c>
      <c r="T111" s="36" t="n"/>
      <c r="U111" s="2" t="n"/>
      <c r="V111" s="2" t="n"/>
      <c r="W111" s="2" t="n"/>
      <c r="X111" s="65" t="n"/>
      <c r="Y111" s="65" t="n"/>
      <c r="Z111" s="2" t="n"/>
    </row>
    <row r="112" ht="14.25" customFormat="1" customHeight="1" s="55">
      <c r="A112" s="12" t="n"/>
      <c r="B112" s="145" t="inlineStr">
        <is>
          <t>Поставка ПО и оборудования для построения частного облака</t>
        </is>
      </c>
      <c r="C112" s="143" t="n"/>
      <c r="D112" s="143" t="n"/>
      <c r="E112" s="144" t="n"/>
      <c r="F112" s="34" t="n"/>
      <c r="G112" s="3" t="n">
        <v>1.96</v>
      </c>
      <c r="H112" s="3" t="n">
        <v>17.03</v>
      </c>
      <c r="I112" s="3" t="n">
        <v>20.17</v>
      </c>
      <c r="J112" s="66" t="n">
        <v>20.98</v>
      </c>
      <c r="K112" s="66" t="n">
        <v>21.82</v>
      </c>
      <c r="L112" s="3" t="n">
        <v>80</v>
      </c>
      <c r="M112" s="36" t="n"/>
      <c r="N112" s="26">
        <f>IFERROR(G112/G$118,"")</f>
        <v/>
      </c>
      <c r="O112" s="26">
        <f>IFERROR(H112/H$118,"")</f>
        <v/>
      </c>
      <c r="P112" s="26">
        <f>IFERROR(I112/I$118,"")</f>
        <v/>
      </c>
      <c r="Q112" s="26">
        <f>IFERROR(J112/J$118,"")</f>
        <v/>
      </c>
      <c r="R112" s="26">
        <f>IFERROR(K112/K$118,"")</f>
        <v/>
      </c>
      <c r="S112" s="26">
        <f>IFERROR(L112/L$118,"")</f>
        <v/>
      </c>
      <c r="T112" s="36" t="n"/>
      <c r="U112" s="2" t="n"/>
      <c r="V112" s="2" t="n"/>
      <c r="W112" s="2" t="n"/>
      <c r="X112" s="65" t="n"/>
      <c r="Y112" s="65" t="n"/>
      <c r="Z112" s="2" t="n"/>
    </row>
    <row r="113" ht="14.25" customFormat="1" customHeight="1" s="55">
      <c r="A113" s="12" t="n"/>
      <c r="B113" s="145" t="inlineStr">
        <is>
          <t>Консультационные услуги по построению частного облака</t>
        </is>
      </c>
      <c r="C113" s="143" t="n"/>
      <c r="D113" s="143" t="n"/>
      <c r="E113" s="144" t="n"/>
      <c r="F113" s="34" t="n"/>
      <c r="G113" s="3" t="n">
        <v>0</v>
      </c>
      <c r="H113" s="3" t="n">
        <v>2.13</v>
      </c>
      <c r="I113" s="3" t="n">
        <v>2.52</v>
      </c>
      <c r="J113" s="66" t="n">
        <v>2.62</v>
      </c>
      <c r="K113" s="66" t="n">
        <v>2.73</v>
      </c>
      <c r="L113" s="3" t="n">
        <v>10</v>
      </c>
      <c r="M113" s="36" t="n"/>
      <c r="N113" s="26">
        <f>IFERROR(G113/G$118,"")</f>
        <v/>
      </c>
      <c r="O113" s="26">
        <f>IFERROR(H113/H$118,"")</f>
        <v/>
      </c>
      <c r="P113" s="26">
        <f>IFERROR(I113/I$118,"")</f>
        <v/>
      </c>
      <c r="Q113" s="26">
        <f>IFERROR(J113/J$118,"")</f>
        <v/>
      </c>
      <c r="R113" s="26">
        <f>IFERROR(K113/K$118,"")</f>
        <v/>
      </c>
      <c r="S113" s="26">
        <f>IFERROR(L113/L$118,"")</f>
        <v/>
      </c>
      <c r="T113" s="36" t="n"/>
      <c r="U113" s="2" t="n"/>
      <c r="V113" s="2" t="n"/>
      <c r="W113" s="2" t="n"/>
      <c r="X113" s="65" t="n"/>
      <c r="Y113" s="65" t="n"/>
      <c r="Z113" s="2" t="n"/>
    </row>
    <row r="114" ht="14.25" customFormat="1" customHeight="1" s="55">
      <c r="A114" s="12" t="n"/>
      <c r="B114" s="145" t="inlineStr">
        <is>
          <t>Managed services</t>
        </is>
      </c>
      <c r="C114" s="143" t="n"/>
      <c r="D114" s="143" t="n"/>
      <c r="E114" s="144" t="n"/>
      <c r="F114" s="34" t="n"/>
      <c r="G114" s="3" t="n">
        <v>0</v>
      </c>
      <c r="H114" s="3" t="n">
        <v>2.13</v>
      </c>
      <c r="I114" s="3" t="n">
        <v>2.52</v>
      </c>
      <c r="J114" s="66" t="n">
        <v>2.62</v>
      </c>
      <c r="K114" s="66" t="n">
        <v>2.73</v>
      </c>
      <c r="L114" s="3" t="n">
        <v>10</v>
      </c>
      <c r="M114" s="36" t="n"/>
      <c r="N114" s="26">
        <f>IFERROR(G114/G$118,"")</f>
        <v/>
      </c>
      <c r="O114" s="26">
        <f>IFERROR(H114/H$118,"")</f>
        <v/>
      </c>
      <c r="P114" s="26">
        <f>IFERROR(I114/I$118,"")</f>
        <v/>
      </c>
      <c r="Q114" s="26">
        <f>IFERROR(J114/J$118,"")</f>
        <v/>
      </c>
      <c r="R114" s="26">
        <f>IFERROR(K114/K$118,"")</f>
        <v/>
      </c>
      <c r="S114" s="26">
        <f>IFERROR(L114/L$118,"")</f>
        <v/>
      </c>
      <c r="T114" s="36" t="n"/>
      <c r="U114" s="2" t="n"/>
      <c r="V114" s="2" t="n"/>
      <c r="W114" s="2" t="n"/>
      <c r="X114" s="65" t="n"/>
      <c r="Y114" s="65" t="n"/>
      <c r="Z114" s="2" t="n"/>
    </row>
    <row r="115" ht="14.25" customFormat="1" customHeight="1" s="55">
      <c r="A115" s="12" t="n"/>
      <c r="B115" s="145" t="inlineStr">
        <is>
          <t>Услуги по поддержке мультиоблака (MultiCloud)</t>
        </is>
      </c>
      <c r="C115" s="143" t="n"/>
      <c r="D115" s="143" t="n"/>
      <c r="E115" s="144" t="n"/>
      <c r="F115" s="34" t="n"/>
      <c r="G115" s="3" t="n">
        <v>0</v>
      </c>
      <c r="H115" s="3" t="n">
        <v>2.13</v>
      </c>
      <c r="I115" s="3" t="n">
        <v>2.52</v>
      </c>
      <c r="J115" s="66" t="n">
        <v>2.62</v>
      </c>
      <c r="K115" s="66" t="n">
        <v>2.73</v>
      </c>
      <c r="L115" s="3" t="n">
        <v>10</v>
      </c>
      <c r="M115" s="36" t="n"/>
      <c r="N115" s="26">
        <f>IFERROR(G115/G$118,"")</f>
        <v/>
      </c>
      <c r="O115" s="26">
        <f>IFERROR(H115/H$118,"")</f>
        <v/>
      </c>
      <c r="P115" s="26">
        <f>IFERROR(I115/I$118,"")</f>
        <v/>
      </c>
      <c r="Q115" s="26">
        <f>IFERROR(J115/J$118,"")</f>
        <v/>
      </c>
      <c r="R115" s="26">
        <f>IFERROR(K115/K$118,"")</f>
        <v/>
      </c>
      <c r="S115" s="26">
        <f>IFERROR(L115/L$118,"")</f>
        <v/>
      </c>
      <c r="T115" s="36" t="n"/>
      <c r="U115" s="2" t="n"/>
      <c r="V115" s="2" t="n"/>
      <c r="W115" s="2" t="n"/>
      <c r="X115" s="65" t="n"/>
      <c r="Y115" s="65" t="n"/>
      <c r="Z115" s="2" t="n"/>
    </row>
    <row r="116" ht="14.25" customFormat="1" customHeight="1" s="55">
      <c r="A116" s="12" t="n"/>
      <c r="B116" s="145" t="inlineStr">
        <is>
          <t>Продажа лицензий на ПО (не облачное)</t>
        </is>
      </c>
      <c r="C116" s="143" t="n"/>
      <c r="D116" s="143" t="n"/>
      <c r="E116" s="144" t="n"/>
      <c r="F116" s="34" t="n"/>
      <c r="G116" s="3" t="n">
        <v>0.63</v>
      </c>
      <c r="H116" s="3" t="n">
        <v>25.55</v>
      </c>
      <c r="I116" s="3" t="n">
        <v>30.26</v>
      </c>
      <c r="J116" s="66" t="n">
        <v>31.47</v>
      </c>
      <c r="K116" s="66" t="n">
        <v>32.72</v>
      </c>
      <c r="L116" s="3" t="n">
        <v>120</v>
      </c>
      <c r="M116" s="36" t="n"/>
      <c r="N116" s="26">
        <f>IFERROR(G116/G$118,"")</f>
        <v/>
      </c>
      <c r="O116" s="26">
        <f>IFERROR(H116/H$118,"")</f>
        <v/>
      </c>
      <c r="P116" s="26">
        <f>IFERROR(I116/I$118,"")</f>
        <v/>
      </c>
      <c r="Q116" s="26">
        <f>IFERROR(J116/J$118,"")</f>
        <v/>
      </c>
      <c r="R116" s="26">
        <f>IFERROR(K116/K$118,"")</f>
        <v/>
      </c>
      <c r="S116" s="26">
        <f>IFERROR(L116/L$118,"")</f>
        <v/>
      </c>
      <c r="T116" s="36" t="n"/>
      <c r="U116" s="2" t="n"/>
      <c r="V116" s="2" t="n"/>
      <c r="W116" s="2" t="n"/>
      <c r="X116" s="65" t="n"/>
      <c r="Y116" s="65" t="n"/>
      <c r="Z116" s="2" t="n"/>
    </row>
    <row r="117" ht="14.25" customFormat="1" customHeight="1" s="55">
      <c r="A117" s="12" t="n"/>
      <c r="B117" s="145" t="inlineStr">
        <is>
          <t>Другое, укажите что</t>
        </is>
      </c>
      <c r="C117" s="144" t="n"/>
      <c r="D117" s="120" t="n"/>
      <c r="E117" s="139" t="n"/>
      <c r="F117" s="84" t="n"/>
      <c r="G117" s="3" t="n">
        <v>0</v>
      </c>
      <c r="H117" s="3" t="n">
        <v>0</v>
      </c>
      <c r="I117" s="3" t="n">
        <v>0</v>
      </c>
      <c r="J117" s="66" t="n">
        <v>0</v>
      </c>
      <c r="K117" s="66" t="n">
        <v>0</v>
      </c>
      <c r="L117" s="3">
        <f>SUM(H117:K117)</f>
        <v/>
      </c>
      <c r="M117" s="36" t="n"/>
      <c r="N117" s="26">
        <f>IFERROR(G117/G$118,"")</f>
        <v/>
      </c>
      <c r="O117" s="26">
        <f>IFERROR(H117/H$118,"")</f>
        <v/>
      </c>
      <c r="P117" s="26">
        <f>IFERROR(I117/I$118,"")</f>
        <v/>
      </c>
      <c r="Q117" s="26">
        <f>IFERROR(J117/J$118,"")</f>
        <v/>
      </c>
      <c r="R117" s="26">
        <f>IFERROR(K117/K$118,"")</f>
        <v/>
      </c>
      <c r="S117" s="26">
        <f>IFERROR(L117/L$118,"")</f>
        <v/>
      </c>
      <c r="T117" s="36" t="n"/>
      <c r="U117" s="2" t="n"/>
      <c r="V117" s="2" t="n"/>
      <c r="W117" s="2" t="n"/>
      <c r="X117" s="65" t="n"/>
      <c r="Y117" s="65" t="n"/>
      <c r="Z117" s="2" t="n"/>
    </row>
    <row r="118" ht="14.25" customFormat="1" customHeight="1" s="55">
      <c r="A118" s="12" t="n"/>
      <c r="B118" s="119" t="inlineStr">
        <is>
          <t>Всего 100% от выручки "Прочие"</t>
        </is>
      </c>
      <c r="C118" s="143" t="n"/>
      <c r="D118" s="143" t="n"/>
      <c r="E118" s="144" t="n"/>
      <c r="F118" s="87" t="n"/>
      <c r="G118" s="7">
        <f>SUM(G110:G117)</f>
        <v/>
      </c>
      <c r="H118" s="7">
        <f>SUM(H110:H117)</f>
        <v/>
      </c>
      <c r="I118" s="7">
        <f>SUM(I110:I117)</f>
        <v/>
      </c>
      <c r="J118" s="7">
        <f>SUM(J110:J117)</f>
        <v/>
      </c>
      <c r="K118" s="7">
        <f>SUM(K110:K117)</f>
        <v/>
      </c>
      <c r="L118" s="7">
        <f>SUM(L110:L117)</f>
        <v/>
      </c>
      <c r="M118" s="5" t="n"/>
      <c r="N118" s="57">
        <f>SUM(N110:N117)</f>
        <v/>
      </c>
      <c r="O118" s="57">
        <f>SUM(O110:O117)</f>
        <v/>
      </c>
      <c r="P118" s="57">
        <f>SUM(P110:P117)</f>
        <v/>
      </c>
      <c r="Q118" s="57">
        <f>SUM(Q110:Q117)</f>
        <v/>
      </c>
      <c r="R118" s="57">
        <f>SUM(R110:R117)</f>
        <v/>
      </c>
      <c r="S118" s="57">
        <f>SUM(S110:S117)</f>
        <v/>
      </c>
      <c r="T118" s="5" t="n"/>
      <c r="U118" s="32" t="n"/>
      <c r="V118" s="32" t="n"/>
      <c r="W118" s="32" t="n"/>
      <c r="X118" s="32" t="n"/>
      <c r="Y118" s="32" t="n"/>
      <c r="Z118" s="32" t="n"/>
    </row>
    <row r="119" ht="14.25" customFormat="1" customHeight="1" s="55">
      <c r="A119" s="12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4.25" customFormat="1" customHeight="1" s="55" thickBot="1">
      <c r="A120" s="12" t="n"/>
      <c r="B120" s="96" t="inlineStr">
        <is>
          <t>Инфраструктура для облачных услуг</t>
        </is>
      </c>
      <c r="C120" s="140" t="n"/>
      <c r="D120" s="140" t="n"/>
      <c r="E120" s="140" t="n"/>
      <c r="F120" s="140" t="n"/>
      <c r="G120" s="140" t="n"/>
      <c r="H120" s="140" t="n"/>
      <c r="I120" s="140" t="n"/>
      <c r="J120" s="140" t="n"/>
      <c r="K120" s="140" t="n"/>
      <c r="L120" s="140" t="n"/>
      <c r="M120" s="5" t="n"/>
      <c r="N120" s="5" t="n"/>
      <c r="O120" s="5" t="n"/>
      <c r="P120" s="19" t="n"/>
      <c r="Q120" s="19" t="n"/>
      <c r="R120" s="19" t="n"/>
      <c r="S120" s="5" t="n"/>
      <c r="T120" s="19" t="n"/>
      <c r="U120" s="19" t="n"/>
      <c r="V120" s="19" t="n"/>
      <c r="W120" s="19" t="n"/>
      <c r="X120" s="19" t="n"/>
      <c r="Y120" s="19" t="n"/>
      <c r="Z120" s="5" t="n"/>
      <c r="AA120" s="19" t="n"/>
    </row>
    <row r="121" ht="14.25" customFormat="1" customHeight="1" s="55" thickTop="1">
      <c r="A121" s="12" t="n"/>
      <c r="B121" s="10" t="inlineStr">
        <is>
          <t>Таблица 8</t>
        </is>
      </c>
      <c r="C121" s="5" t="n"/>
      <c r="D121" s="5" t="n"/>
      <c r="E121" s="5" t="n"/>
      <c r="F121" s="5" t="n"/>
      <c r="G121" s="52" t="inlineStr">
        <is>
          <t>итог</t>
        </is>
      </c>
      <c r="H121" s="52" t="inlineStr">
        <is>
          <t>итог</t>
        </is>
      </c>
      <c r="I121" s="5" t="n"/>
      <c r="J121" s="5" t="n"/>
      <c r="K121" s="5" t="n"/>
      <c r="L121" s="5" t="n"/>
      <c r="M121" s="5" t="n"/>
      <c r="N121" s="5" t="n"/>
      <c r="O121" s="5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</row>
    <row r="122" ht="28.5" customFormat="1" customHeight="1" s="55">
      <c r="A122" s="12" t="n"/>
      <c r="B122" s="147" t="inlineStr">
        <is>
          <t xml:space="preserve">Доля систем виртуализации IaaS на конец периода в персчете на ядра 1 ГГц, % от общего количества ядер </t>
        </is>
      </c>
      <c r="C122" s="148" t="n"/>
      <c r="D122" s="148" t="n"/>
      <c r="E122" s="148" t="n"/>
      <c r="F122" s="149" t="n"/>
      <c r="G122" s="13" t="n">
        <v>2025</v>
      </c>
      <c r="H122" s="13" t="inlineStr">
        <is>
          <t>2q 2026</t>
        </is>
      </c>
      <c r="I122" s="5" t="n"/>
      <c r="J122" s="5" t="n"/>
      <c r="K122" s="5" t="n"/>
      <c r="L122" s="5" t="n"/>
      <c r="M122" s="5" t="n"/>
      <c r="N122" s="5" t="n"/>
      <c r="O122" s="5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</row>
    <row r="123" ht="14.25" customFormat="1" customHeight="1" s="55">
      <c r="A123" s="12" t="n"/>
      <c r="B123" s="146" t="inlineStr">
        <is>
          <t xml:space="preserve">   KVM</t>
        </is>
      </c>
      <c r="C123" s="143" t="n"/>
      <c r="D123" s="143" t="n"/>
      <c r="E123" s="143" t="n"/>
      <c r="F123" s="144" t="n"/>
      <c r="G123" s="8" t="n">
        <v>0.05</v>
      </c>
      <c r="H123" s="8" t="n">
        <v>0.1</v>
      </c>
      <c r="I123" s="5" t="n"/>
      <c r="J123" s="5" t="n"/>
      <c r="K123" s="5" t="n"/>
      <c r="L123" s="5" t="n"/>
      <c r="M123" s="5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  <c r="AA123" s="19" t="n"/>
    </row>
    <row r="124" ht="14.25" customFormat="1" customHeight="1" s="55">
      <c r="A124" s="12" t="n"/>
      <c r="B124" s="146" t="inlineStr">
        <is>
          <t xml:space="preserve">   Hyper-V</t>
        </is>
      </c>
      <c r="C124" s="143" t="n"/>
      <c r="D124" s="143" t="n"/>
      <c r="E124" s="143" t="n"/>
      <c r="F124" s="144" t="n"/>
      <c r="G124" s="8" t="n">
        <v>0.05</v>
      </c>
      <c r="H124" s="8" t="n">
        <v>0.05</v>
      </c>
      <c r="I124" s="5" t="n"/>
      <c r="J124" s="5" t="n"/>
      <c r="K124" s="5" t="n"/>
      <c r="L124" s="5" t="n"/>
      <c r="M124" s="5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</row>
    <row r="125" ht="14.25" customFormat="1" customHeight="1" s="55">
      <c r="A125" s="12" t="n"/>
      <c r="B125" s="146" t="inlineStr">
        <is>
          <t xml:space="preserve">   VMware</t>
        </is>
      </c>
      <c r="C125" s="143" t="n"/>
      <c r="D125" s="143" t="n"/>
      <c r="E125" s="143" t="n"/>
      <c r="F125" s="144" t="n"/>
      <c r="G125" s="8" t="n">
        <v>0.9</v>
      </c>
      <c r="H125" s="8" t="n">
        <v>0.8</v>
      </c>
      <c r="I125" s="5" t="n"/>
      <c r="J125" s="5" t="n"/>
      <c r="K125" s="5" t="n"/>
      <c r="L125" s="5" t="n"/>
      <c r="M125" s="5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</row>
    <row r="126" ht="14.25" customFormat="1" customHeight="1" s="55">
      <c r="A126" s="12" t="n"/>
      <c r="B126" s="146" t="inlineStr">
        <is>
          <t>Российские (укажите какие)</t>
        </is>
      </c>
      <c r="C126" s="144" t="n"/>
      <c r="D126" s="9" t="n"/>
      <c r="E126" s="138" t="n"/>
      <c r="F126" s="139" t="n"/>
      <c r="G126" s="8" t="n"/>
      <c r="H126" s="8" t="n"/>
      <c r="I126" s="5" t="n"/>
      <c r="J126" s="5" t="n"/>
      <c r="K126" s="5" t="n"/>
      <c r="L126" s="5" t="n"/>
      <c r="M126" s="5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</row>
    <row r="127" ht="14.25" customFormat="1" customHeight="1" s="55">
      <c r="A127" s="12" t="n"/>
      <c r="B127" s="146" t="inlineStr">
        <is>
          <t>Другие (укажите какие)</t>
        </is>
      </c>
      <c r="C127" s="144" t="n"/>
      <c r="D127" s="9" t="n"/>
      <c r="E127" s="138" t="n"/>
      <c r="F127" s="139" t="n"/>
      <c r="G127" s="8" t="n"/>
      <c r="H127" s="8" t="n"/>
      <c r="I127" s="5" t="n"/>
      <c r="J127" s="5" t="n"/>
      <c r="K127" s="5" t="n"/>
      <c r="L127" s="5" t="n"/>
      <c r="M127" s="5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  <c r="AA127" s="19" t="n"/>
    </row>
    <row r="128" ht="14.25" customFormat="1" customHeight="1" s="55">
      <c r="A128" s="12" t="n"/>
      <c r="B128" s="119" t="inlineStr">
        <is>
          <t>Итого (в сумме должно быть 100%)</t>
        </is>
      </c>
      <c r="C128" s="143" t="n"/>
      <c r="D128" s="143" t="n"/>
      <c r="E128" s="143" t="n"/>
      <c r="F128" s="144" t="n"/>
      <c r="G128" s="11">
        <f>SUM(G123:G127)</f>
        <v/>
      </c>
      <c r="H128" s="11">
        <f>SUM(H123:H127)</f>
        <v/>
      </c>
      <c r="I128" s="5" t="n"/>
      <c r="J128" s="5" t="n"/>
      <c r="K128" s="5" t="n"/>
      <c r="L128" s="5" t="n"/>
      <c r="M128" s="5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</row>
    <row r="129" ht="14.25" customFormat="1" customHeight="1" s="55">
      <c r="A129" s="12" t="n"/>
      <c r="B129" s="10" t="inlineStr">
        <is>
          <t>Таблица 9</t>
        </is>
      </c>
      <c r="C129" s="5" t="n"/>
      <c r="D129" s="5" t="n"/>
      <c r="E129" s="5" t="n"/>
      <c r="F129" s="5" t="n"/>
      <c r="G129" s="52" t="inlineStr">
        <is>
          <t>итог</t>
        </is>
      </c>
      <c r="H129" s="52" t="inlineStr">
        <is>
          <t>итог</t>
        </is>
      </c>
      <c r="I129" s="5" t="n"/>
      <c r="J129" s="5" t="n"/>
      <c r="K129" s="5" t="n"/>
      <c r="L129" s="5" t="n"/>
      <c r="M129" s="5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</row>
    <row r="130" ht="29.25" customFormat="1" customHeight="1" s="55">
      <c r="A130" s="12" t="n"/>
      <c r="B130" s="147" t="inlineStr">
        <is>
          <t>Количество серверов и стоек, используемых для облачных услуг. шт., на конец периода</t>
        </is>
      </c>
      <c r="C130" s="148" t="n"/>
      <c r="D130" s="148" t="n"/>
      <c r="E130" s="148" t="n"/>
      <c r="F130" s="149" t="n"/>
      <c r="G130" s="13" t="n">
        <v>2025</v>
      </c>
      <c r="H130" s="13" t="inlineStr">
        <is>
          <t>2q 2026</t>
        </is>
      </c>
      <c r="I130" s="5" t="n"/>
      <c r="J130" s="5" t="n"/>
      <c r="K130" s="5" t="n"/>
      <c r="L130" s="5" t="n"/>
      <c r="M130" s="5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  <c r="AA130" s="19" t="n"/>
    </row>
    <row r="131" ht="14.5" customFormat="1" customHeight="1" s="55">
      <c r="A131" s="12" t="n"/>
      <c r="B131" s="145" t="inlineStr">
        <is>
          <t>Количество серверов и СХД, используемых для облаков</t>
        </is>
      </c>
      <c r="C131" s="143" t="n"/>
      <c r="D131" s="143" t="n"/>
      <c r="E131" s="143" t="n"/>
      <c r="F131" s="144" t="n"/>
      <c r="G131" s="2" t="n"/>
      <c r="H131" s="2" t="n"/>
      <c r="I131" s="5" t="n"/>
      <c r="J131" s="5" t="n"/>
      <c r="K131" s="5" t="n"/>
      <c r="L131" s="5" t="n"/>
      <c r="M131" s="5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</row>
    <row r="132" ht="14.25" customFormat="1" customHeight="1" s="55">
      <c r="A132" s="12" t="n"/>
      <c r="B132" s="145" t="inlineStr">
        <is>
          <t>Количество стоек в собственных ЦОДах</t>
        </is>
      </c>
      <c r="C132" s="143" t="n"/>
      <c r="D132" s="143" t="n"/>
      <c r="E132" s="143" t="n"/>
      <c r="F132" s="144" t="n"/>
      <c r="G132" s="2" t="n"/>
      <c r="H132" s="2" t="n"/>
      <c r="I132" s="5" t="n"/>
      <c r="J132" s="5" t="n"/>
      <c r="K132" s="5" t="n"/>
      <c r="L132" s="5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</row>
    <row r="133" ht="14.25" customFormat="1" customHeight="1" s="55">
      <c r="A133" s="12" t="n"/>
      <c r="B133" s="145" t="inlineStr">
        <is>
          <t>Количество арендованных стоек в коммерческих ЦОДах</t>
        </is>
      </c>
      <c r="C133" s="143" t="n"/>
      <c r="D133" s="143" t="n"/>
      <c r="E133" s="143" t="n"/>
      <c r="F133" s="144" t="n"/>
      <c r="G133" s="2" t="n"/>
      <c r="H133" s="2" t="n"/>
      <c r="I133" s="5" t="n"/>
      <c r="J133" s="5" t="n"/>
      <c r="K133" s="5" t="n"/>
      <c r="L133" s="5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</row>
    <row r="134" ht="14.25" customFormat="1" customHeight="1" s="19">
      <c r="A134" s="12" t="n"/>
      <c r="B134" s="119" t="inlineStr">
        <is>
          <t xml:space="preserve">Итого стоек (строки 128 + 129) </t>
        </is>
      </c>
      <c r="C134" s="143" t="n"/>
      <c r="D134" s="143" t="n"/>
      <c r="E134" s="143" t="n"/>
      <c r="F134" s="144" t="n"/>
      <c r="G134" s="14">
        <f>SUM(G132:G133)</f>
        <v/>
      </c>
      <c r="H134" s="14">
        <f>SUM(H132:H133)</f>
        <v/>
      </c>
      <c r="I134" s="5" t="n"/>
      <c r="J134" s="5" t="n"/>
      <c r="K134" s="5" t="n"/>
      <c r="L134" s="5" t="n"/>
    </row>
    <row r="135" ht="12" customFormat="1" customHeight="1" s="19">
      <c r="B135" s="10" t="inlineStr">
        <is>
          <t>Таблица 10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21" customFormat="1" customHeight="1" s="19">
      <c r="B136" s="122" t="inlineStr">
        <is>
          <t>ЦОДы, которые используются для предоставления облачных услуг (собственные и коммерческие)</t>
        </is>
      </c>
      <c r="C136" s="143" t="n"/>
      <c r="D136" s="143" t="n"/>
      <c r="E136" s="143" t="n"/>
      <c r="F136" s="143" t="n"/>
      <c r="G136" s="143" t="n"/>
      <c r="H136" s="143" t="n"/>
      <c r="I136" s="143" t="n"/>
      <c r="J136" s="143" t="n"/>
      <c r="K136" s="143" t="n"/>
      <c r="L136" s="144" t="n"/>
    </row>
    <row r="137" ht="42" customFormat="1" customHeight="1" s="19">
      <c r="B137" s="88" t="inlineStr">
        <is>
          <t>Nord4, Linx, KeyPoint</t>
        </is>
      </c>
      <c r="C137" s="143" t="n"/>
      <c r="D137" s="143" t="n"/>
      <c r="E137" s="143" t="n"/>
      <c r="F137" s="143" t="n"/>
      <c r="G137" s="143" t="n"/>
      <c r="H137" s="143" t="n"/>
      <c r="I137" s="143" t="n"/>
      <c r="J137" s="143" t="n"/>
      <c r="K137" s="143" t="n"/>
      <c r="L137" s="144" t="n"/>
    </row>
    <row r="138" ht="12" customFormat="1" customHeight="1" s="19">
      <c r="B138" s="50" t="inlineStr">
        <is>
          <t>Таблица 11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 ht="18" customFormat="1" customHeight="1" s="19">
      <c r="B139" s="122" t="inlineStr">
        <is>
          <t xml:space="preserve">Примерная структура затрат на предоставление облачных услуг (по итогам  2025 года) </t>
        </is>
      </c>
      <c r="C139" s="143" t="n"/>
      <c r="D139" s="143" t="n"/>
      <c r="E139" s="143" t="n"/>
      <c r="F139" s="143" t="n"/>
      <c r="G139" s="143" t="n"/>
      <c r="H139" s="143" t="n"/>
      <c r="I139" s="143" t="n"/>
      <c r="J139" s="144" t="n"/>
      <c r="K139" s="44" t="inlineStr">
        <is>
          <t>Доля от затрат, %</t>
        </is>
      </c>
      <c r="L139" s="144" t="n"/>
    </row>
    <row r="140" customFormat="1" s="19">
      <c r="B140" s="145" t="inlineStr">
        <is>
          <t xml:space="preserve">Затраты на поддержание собственной ИТ-инфраструктуры </t>
        </is>
      </c>
      <c r="C140" s="143" t="n"/>
      <c r="D140" s="143" t="n"/>
      <c r="E140" s="143" t="n"/>
      <c r="F140" s="143" t="n"/>
      <c r="G140" s="143" t="n"/>
      <c r="H140" s="143" t="n"/>
      <c r="I140" s="143" t="n"/>
      <c r="J140" s="144" t="n"/>
      <c r="K140" s="150" t="n"/>
      <c r="L140" s="151" t="n"/>
    </row>
    <row r="141" customFormat="1" s="19">
      <c r="B141" s="145" t="inlineStr">
        <is>
          <t>Инвестиции в развитие собственной инфраструктуры (в т.ч. закупка серверов и СХД)</t>
        </is>
      </c>
      <c r="C141" s="143" t="n"/>
      <c r="D141" s="143" t="n"/>
      <c r="E141" s="143" t="n"/>
      <c r="F141" s="143" t="n"/>
      <c r="G141" s="143" t="n"/>
      <c r="H141" s="143" t="n"/>
      <c r="I141" s="143" t="n"/>
      <c r="J141" s="144" t="n"/>
      <c r="K141" s="150" t="n"/>
      <c r="L141" s="151" t="n"/>
    </row>
    <row r="142" customFormat="1" s="19">
      <c r="B142" s="145" t="inlineStr">
        <is>
          <t xml:space="preserve">Затраты на аренду ИТ-инфраструктуры (включая арендуемые облачные услуги, colocation и проч.) </t>
        </is>
      </c>
      <c r="C142" s="143" t="n"/>
      <c r="D142" s="143" t="n"/>
      <c r="E142" s="143" t="n"/>
      <c r="F142" s="143" t="n"/>
      <c r="G142" s="143" t="n"/>
      <c r="H142" s="143" t="n"/>
      <c r="I142" s="143" t="n"/>
      <c r="J142" s="144" t="n"/>
      <c r="K142" s="150" t="n"/>
      <c r="L142" s="151" t="n"/>
    </row>
    <row r="143" customFormat="1" s="19">
      <c r="B143" s="145" t="inlineStr">
        <is>
          <t>Затраты на персонал</t>
        </is>
      </c>
      <c r="C143" s="143" t="n"/>
      <c r="D143" s="143" t="n"/>
      <c r="E143" s="143" t="n"/>
      <c r="F143" s="143" t="n"/>
      <c r="G143" s="143" t="n"/>
      <c r="H143" s="143" t="n"/>
      <c r="I143" s="143" t="n"/>
      <c r="J143" s="144" t="n"/>
      <c r="K143" s="150" t="n"/>
      <c r="L143" s="151" t="n"/>
    </row>
    <row r="144" customFormat="1" s="19">
      <c r="B144" s="145" t="inlineStr">
        <is>
          <t>Прочие затраты, что именно</t>
        </is>
      </c>
      <c r="C144" s="143" t="n"/>
      <c r="D144" s="144" t="n"/>
      <c r="E144" s="152" t="n"/>
      <c r="F144" s="143" t="n"/>
      <c r="G144" s="143" t="n"/>
      <c r="H144" s="143" t="n"/>
      <c r="I144" s="143" t="n"/>
      <c r="J144" s="144" t="n"/>
      <c r="K144" s="150" t="n"/>
      <c r="L144" s="151" t="n"/>
    </row>
    <row r="145" customFormat="1" s="19">
      <c r="B145" s="58" t="inlineStr">
        <is>
          <t>ВСЕГО (должно быть 100%)</t>
        </is>
      </c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153">
        <f>SUM(K140:L144)</f>
        <v/>
      </c>
      <c r="L145" s="151" t="n"/>
    </row>
    <row r="146" ht="12" customFormat="1" customHeight="1" s="19"/>
    <row r="147" ht="14.25" customFormat="1" customHeight="1" s="19" thickBot="1">
      <c r="B147" s="96" t="inlineStr">
        <is>
          <t>Пользователи облачных услуг в 2025 по итогам года</t>
        </is>
      </c>
      <c r="C147" s="140" t="n"/>
      <c r="D147" s="140" t="n"/>
      <c r="E147" s="140" t="n"/>
      <c r="F147" s="140" t="n"/>
      <c r="G147" s="140" t="n"/>
      <c r="H147" s="140" t="n"/>
      <c r="I147" s="140" t="n"/>
      <c r="J147" s="140" t="n"/>
      <c r="K147" s="140" t="n"/>
      <c r="L147" s="24" t="n"/>
    </row>
    <row r="148" ht="13" customFormat="1" customHeight="1" s="19" thickTop="1">
      <c r="B148" s="10" t="inlineStr">
        <is>
          <t>Таблица 12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27" customFormat="1" customHeight="1" s="19">
      <c r="B149" s="122" t="inlineStr">
        <is>
          <t>Структура выручки в 2025 году по типу компании, % выручки</t>
        </is>
      </c>
      <c r="C149" s="143" t="n"/>
      <c r="D149" s="143" t="n"/>
      <c r="E149" s="143" t="n"/>
      <c r="F149" s="143" t="n"/>
      <c r="G149" s="144" t="n"/>
      <c r="H149" s="44" t="inlineStr">
        <is>
          <t>IaaS, %</t>
        </is>
      </c>
      <c r="I149" s="44" t="inlineStr">
        <is>
          <t>PaaS, %</t>
        </is>
      </c>
      <c r="J149" s="44" t="inlineStr">
        <is>
          <t>SaaS, %</t>
        </is>
      </c>
      <c r="K149" s="44" t="inlineStr">
        <is>
          <t>Инфо-без, %</t>
        </is>
      </c>
    </row>
    <row r="150" ht="12" customFormat="1" customHeight="1" s="19">
      <c r="B150" s="145" t="inlineStr">
        <is>
          <t xml:space="preserve">SOHO, включая частных пользователей и ИП </t>
        </is>
      </c>
      <c r="C150" s="143" t="n"/>
      <c r="D150" s="143" t="n"/>
      <c r="E150" s="143" t="n"/>
      <c r="F150" s="143" t="n"/>
      <c r="G150" s="144" t="n"/>
      <c r="H150" s="9" t="n"/>
      <c r="I150" s="9" t="n"/>
      <c r="J150" s="9" t="n"/>
      <c r="K150" s="9" t="n"/>
    </row>
    <row r="151" ht="12" customFormat="1" customHeight="1" s="19">
      <c r="B151" s="145" t="inlineStr">
        <is>
          <t>СМП (средние и малые предприятия)</t>
        </is>
      </c>
      <c r="C151" s="143" t="n"/>
      <c r="D151" s="143" t="n"/>
      <c r="E151" s="143" t="n"/>
      <c r="F151" s="143" t="n"/>
      <c r="G151" s="144" t="n"/>
      <c r="H151" s="9" t="n"/>
      <c r="I151" s="9" t="n"/>
      <c r="J151" s="9" t="n"/>
      <c r="K151" s="9" t="n"/>
    </row>
    <row r="152" ht="12" customFormat="1" customHeight="1" s="19">
      <c r="B152" s="145" t="inlineStr">
        <is>
          <t>Госорганизации (госуправление, бюджетные)</t>
        </is>
      </c>
      <c r="C152" s="143" t="n"/>
      <c r="D152" s="143" t="n"/>
      <c r="E152" s="143" t="n"/>
      <c r="F152" s="143" t="n"/>
      <c r="G152" s="144" t="n"/>
      <c r="H152" s="9" t="n"/>
      <c r="I152" s="9" t="n"/>
      <c r="J152" s="9" t="n"/>
      <c r="K152" s="9" t="n"/>
    </row>
    <row r="153" ht="12" customFormat="1" customHeight="1" s="19">
      <c r="B153" s="145" t="inlineStr">
        <is>
          <t xml:space="preserve">Крупные российские предприятия </t>
        </is>
      </c>
      <c r="C153" s="143" t="n"/>
      <c r="D153" s="143" t="n"/>
      <c r="E153" s="143" t="n"/>
      <c r="F153" s="143" t="n"/>
      <c r="G153" s="144" t="n"/>
      <c r="H153" s="9" t="n"/>
      <c r="I153" s="9" t="n"/>
      <c r="J153" s="9" t="n"/>
      <c r="K153" s="9" t="n"/>
    </row>
    <row r="154" ht="12" customFormat="1" customHeight="1" s="19">
      <c r="B154" s="145" t="inlineStr">
        <is>
          <t>Российские госкорпорации</t>
        </is>
      </c>
      <c r="C154" s="143" t="n"/>
      <c r="D154" s="143" t="n"/>
      <c r="E154" s="143" t="n"/>
      <c r="F154" s="143" t="n"/>
      <c r="G154" s="144" t="n"/>
      <c r="H154" s="9" t="n"/>
      <c r="I154" s="9" t="n"/>
      <c r="J154" s="9" t="n"/>
      <c r="K154" s="9" t="n"/>
    </row>
    <row r="155" ht="12" customFormat="1" customHeight="1" s="19">
      <c r="B155" s="145" t="inlineStr">
        <is>
          <t>Иностранные компании, представительства</t>
        </is>
      </c>
      <c r="C155" s="143" t="n"/>
      <c r="D155" s="143" t="n"/>
      <c r="E155" s="143" t="n"/>
      <c r="F155" s="143" t="n"/>
      <c r="G155" s="144" t="n"/>
      <c r="H155" s="9" t="n"/>
      <c r="I155" s="9" t="n"/>
      <c r="J155" s="9" t="n"/>
      <c r="K155" s="9" t="n"/>
    </row>
    <row r="156" ht="12" customFormat="1" customHeight="1" s="19">
      <c r="B156" s="119" t="inlineStr">
        <is>
          <t>Итого ( в сумме должно быть 100%)</t>
        </is>
      </c>
      <c r="C156" s="143" t="n"/>
      <c r="D156" s="143" t="n"/>
      <c r="E156" s="143" t="n"/>
      <c r="F156" s="143" t="n"/>
      <c r="G156" s="144" t="n"/>
      <c r="H156" s="45">
        <f>SUM(H150:H155)</f>
        <v/>
      </c>
      <c r="I156" s="45">
        <f>SUM(I150:I155)</f>
        <v/>
      </c>
      <c r="J156" s="45">
        <f>SUM(J150:J155)</f>
        <v/>
      </c>
      <c r="K156" s="45">
        <f>SUM(K150:K155)</f>
        <v/>
      </c>
    </row>
    <row r="157" ht="12" customFormat="1" customHeight="1" s="19">
      <c r="B157" s="10" t="inlineStr">
        <is>
          <t>Таблица 13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 ht="27" customFormat="1" customHeight="1" s="19">
      <c r="B158" s="122" t="inlineStr">
        <is>
          <t>Структура выручки в 2025 году по размеру компании, % выручки</t>
        </is>
      </c>
      <c r="C158" s="143" t="n"/>
      <c r="D158" s="143" t="n"/>
      <c r="E158" s="143" t="n"/>
      <c r="F158" s="143" t="n"/>
      <c r="G158" s="144" t="n"/>
      <c r="H158" s="44" t="inlineStr">
        <is>
          <t>IaaS, %</t>
        </is>
      </c>
      <c r="I158" s="44" t="inlineStr">
        <is>
          <t>PaaS, %</t>
        </is>
      </c>
      <c r="J158" s="44" t="inlineStr">
        <is>
          <t>SaaS, %</t>
        </is>
      </c>
      <c r="K158" s="44" t="inlineStr">
        <is>
          <t>Инфо-без, %</t>
        </is>
      </c>
    </row>
    <row r="159" ht="12" customFormat="1" customHeight="1" s="19">
      <c r="B159" s="75" t="inlineStr">
        <is>
          <t>Микропредприятие (до 15 сотрудников, выручка до 120 млн руб.)</t>
        </is>
      </c>
      <c r="C159" s="143" t="n"/>
      <c r="D159" s="143" t="n"/>
      <c r="E159" s="143" t="n"/>
      <c r="F159" s="143" t="n"/>
      <c r="G159" s="77" t="n"/>
      <c r="H159" s="9" t="n"/>
      <c r="I159" s="9" t="n"/>
      <c r="J159" s="9" t="n"/>
      <c r="K159" s="9" t="n"/>
    </row>
    <row r="160" ht="12" customFormat="1" customHeight="1" s="19">
      <c r="B160" s="75" t="inlineStr">
        <is>
          <t>Малые предприятия (16-100 сотрудников, до 800 млн руб. выручка)</t>
        </is>
      </c>
      <c r="C160" s="143" t="n"/>
      <c r="D160" s="143" t="n"/>
      <c r="E160" s="143" t="n"/>
      <c r="F160" s="143" t="n"/>
      <c r="G160" s="77" t="n"/>
      <c r="H160" s="9" t="n"/>
      <c r="I160" s="9" t="n"/>
      <c r="J160" s="9" t="n"/>
      <c r="K160" s="9" t="n"/>
    </row>
    <row r="161" ht="12" customFormat="1" customHeight="1" s="19">
      <c r="B161" s="75" t="inlineStr">
        <is>
          <t>Средние предприятия 101-250 сотрудников, до 2 млрд руб. выручки)</t>
        </is>
      </c>
      <c r="C161" s="143" t="n"/>
      <c r="D161" s="143" t="n"/>
      <c r="E161" s="143" t="n"/>
      <c r="F161" s="143" t="n"/>
      <c r="G161" s="77" t="n"/>
      <c r="H161" s="9" t="n"/>
      <c r="I161" s="9" t="n"/>
      <c r="J161" s="9" t="n"/>
      <c r="K161" s="9" t="n"/>
    </row>
    <row r="162" ht="12" customFormat="1" customHeight="1" s="19">
      <c r="B162" s="75" t="inlineStr">
        <is>
          <t>Средне-крупные предприятия (251-500 сотрудников, до 15 млрд руб. выручки)</t>
        </is>
      </c>
      <c r="C162" s="143" t="n"/>
      <c r="D162" s="143" t="n"/>
      <c r="E162" s="143" t="n"/>
      <c r="F162" s="143" t="n"/>
      <c r="G162" s="77" t="n"/>
      <c r="H162" s="9" t="n"/>
      <c r="I162" s="9" t="n"/>
      <c r="J162" s="9" t="n"/>
      <c r="K162" s="9" t="n"/>
    </row>
    <row r="163" ht="12" customFormat="1" customHeight="1" s="19">
      <c r="B163" s="75" t="inlineStr">
        <is>
          <t>Крупные предприятия (501-1000 сотрудников, до 100 млрд руб. выручки)</t>
        </is>
      </c>
      <c r="C163" s="143" t="n"/>
      <c r="D163" s="143" t="n"/>
      <c r="E163" s="143" t="n"/>
      <c r="F163" s="143" t="n"/>
      <c r="G163" s="77" t="n"/>
      <c r="H163" s="9" t="n"/>
      <c r="I163" s="9" t="n"/>
      <c r="J163" s="9" t="n"/>
      <c r="K163" s="9" t="n"/>
    </row>
    <row r="164" ht="12" customFormat="1" customHeight="1" s="19">
      <c r="B164" s="75" t="inlineStr">
        <is>
          <t>Корпорации (более 1000 сотрудников, более 100 млрд руб. выручки)</t>
        </is>
      </c>
      <c r="C164" s="143" t="n"/>
      <c r="D164" s="143" t="n"/>
      <c r="E164" s="143" t="n"/>
      <c r="F164" s="143" t="n"/>
      <c r="G164" s="77" t="n"/>
      <c r="H164" s="9" t="n"/>
      <c r="I164" s="9" t="n"/>
      <c r="J164" s="9" t="n"/>
      <c r="K164" s="9" t="n"/>
    </row>
    <row r="165" ht="12" customFormat="1" customHeight="1" s="19">
      <c r="B165" s="85" t="inlineStr">
        <is>
          <t>Итого ( в сумме должно быть 100%)</t>
        </is>
      </c>
      <c r="C165" s="143" t="n"/>
      <c r="D165" s="143" t="n"/>
      <c r="E165" s="143" t="n"/>
      <c r="F165" s="143" t="n"/>
      <c r="G165" s="87" t="n"/>
      <c r="H165" s="45">
        <f>SUM(H159:H164)</f>
        <v/>
      </c>
      <c r="I165" s="45">
        <f>SUM(I159:I164)</f>
        <v/>
      </c>
      <c r="J165" s="45">
        <f>SUM(J159:J164)</f>
        <v/>
      </c>
      <c r="K165" s="45">
        <f>SUM(K159:K164)</f>
        <v/>
      </c>
    </row>
    <row r="166" ht="12" customFormat="1" customHeight="1" s="19">
      <c r="B166" s="10" t="inlineStr">
        <is>
          <t>Таблица 14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 ht="25.5" customFormat="1" customHeight="1" s="19">
      <c r="B167" s="122" t="inlineStr">
        <is>
          <t>Структура выручки по размеру среднемесячного платежа в 2025 году, % от выручки</t>
        </is>
      </c>
      <c r="C167" s="143" t="n"/>
      <c r="D167" s="143" t="n"/>
      <c r="E167" s="143" t="n"/>
      <c r="F167" s="143" t="n"/>
      <c r="G167" s="144" t="n"/>
      <c r="H167" s="70" t="inlineStr">
        <is>
          <t>IaaS, %</t>
        </is>
      </c>
      <c r="I167" s="70" t="inlineStr">
        <is>
          <t>PaaS, %</t>
        </is>
      </c>
      <c r="J167" s="70" t="inlineStr">
        <is>
          <t>SaaS, %</t>
        </is>
      </c>
      <c r="K167" s="70" t="inlineStr">
        <is>
          <t>Инфо-без, %</t>
        </is>
      </c>
    </row>
    <row r="168" ht="12" customFormat="1" customHeight="1" s="19">
      <c r="B168" s="75" t="inlineStr">
        <is>
          <t>До 20 тысяч рублей/месяц</t>
        </is>
      </c>
      <c r="C168" s="143" t="n"/>
      <c r="D168" s="143" t="n"/>
      <c r="E168" s="143" t="n"/>
      <c r="F168" s="143" t="n"/>
      <c r="G168" s="77" t="n"/>
      <c r="H168" s="8" t="n"/>
      <c r="I168" s="8" t="n"/>
      <c r="J168" s="8" t="n"/>
      <c r="K168" s="8" t="n"/>
    </row>
    <row r="169" ht="12" customFormat="1" customHeight="1" s="19">
      <c r="B169" s="75" t="inlineStr">
        <is>
          <t>От 20 до 50 тыс. рублей/месяц</t>
        </is>
      </c>
      <c r="C169" s="143" t="n"/>
      <c r="D169" s="143" t="n"/>
      <c r="E169" s="143" t="n"/>
      <c r="F169" s="143" t="n"/>
      <c r="G169" s="77" t="n"/>
      <c r="H169" s="8" t="n"/>
      <c r="I169" s="8" t="n"/>
      <c r="J169" s="8" t="n"/>
      <c r="K169" s="8" t="n"/>
    </row>
    <row r="170" ht="12" customFormat="1" customHeight="1" s="19">
      <c r="B170" s="75" t="inlineStr">
        <is>
          <t>От 50 до 100 тыс. рублей/месяц</t>
        </is>
      </c>
      <c r="C170" s="143" t="n"/>
      <c r="D170" s="143" t="n"/>
      <c r="E170" s="143" t="n"/>
      <c r="F170" s="143" t="n"/>
      <c r="G170" s="77" t="n"/>
      <c r="H170" s="8" t="n"/>
      <c r="I170" s="8" t="n"/>
      <c r="J170" s="8" t="n"/>
      <c r="K170" s="8" t="n"/>
    </row>
    <row r="171" ht="12" customFormat="1" customHeight="1" s="19">
      <c r="B171" s="75" t="inlineStr">
        <is>
          <t>От 100 до 200 тыс. рублей/месяц</t>
        </is>
      </c>
      <c r="C171" s="143" t="n"/>
      <c r="D171" s="143" t="n"/>
      <c r="E171" s="143" t="n"/>
      <c r="F171" s="143" t="n"/>
      <c r="G171" s="77" t="n"/>
      <c r="H171" s="8" t="n"/>
      <c r="I171" s="8" t="n"/>
      <c r="J171" s="8" t="n"/>
      <c r="K171" s="8" t="n"/>
    </row>
    <row r="172" ht="12" customFormat="1" customHeight="1" s="19">
      <c r="B172" s="75" t="inlineStr">
        <is>
          <t>От 200 до 500 тыс. рублей/месяц</t>
        </is>
      </c>
      <c r="C172" s="143" t="n"/>
      <c r="D172" s="143" t="n"/>
      <c r="E172" s="143" t="n"/>
      <c r="F172" s="143" t="n"/>
      <c r="G172" s="77" t="n"/>
      <c r="H172" s="8" t="n"/>
      <c r="I172" s="8" t="n"/>
      <c r="J172" s="8" t="n"/>
      <c r="K172" s="8" t="n"/>
    </row>
    <row r="173" ht="12" customFormat="1" customHeight="1" s="19">
      <c r="B173" s="75" t="inlineStr">
        <is>
          <t>От 500 тыс. до 1 млн рублей/месяц</t>
        </is>
      </c>
      <c r="C173" s="143" t="n"/>
      <c r="D173" s="143" t="n"/>
      <c r="E173" s="143" t="n"/>
      <c r="F173" s="143" t="n"/>
      <c r="G173" s="77" t="n"/>
      <c r="H173" s="8" t="n"/>
      <c r="I173" s="8" t="n"/>
      <c r="J173" s="8" t="n"/>
      <c r="K173" s="8" t="n"/>
    </row>
    <row r="174" ht="12" customFormat="1" customHeight="1" s="19">
      <c r="B174" s="75" t="inlineStr">
        <is>
          <t>Более 1 млн рублей/месяц</t>
        </is>
      </c>
      <c r="C174" s="143" t="n"/>
      <c r="D174" s="143" t="n"/>
      <c r="E174" s="143" t="n"/>
      <c r="F174" s="143" t="n"/>
      <c r="G174" s="77" t="n"/>
      <c r="H174" s="8" t="n"/>
      <c r="I174" s="8" t="n"/>
      <c r="J174" s="8" t="n"/>
      <c r="K174" s="8" t="n"/>
    </row>
    <row r="175" ht="12" customFormat="1" customHeight="1" s="19">
      <c r="B175" s="85" t="inlineStr">
        <is>
          <t>Итого (в сумме должно быть 100%)</t>
        </is>
      </c>
      <c r="C175" s="143" t="n"/>
      <c r="D175" s="143" t="n"/>
      <c r="E175" s="143" t="n"/>
      <c r="F175" s="143" t="n"/>
      <c r="G175" s="87" t="n"/>
      <c r="H175" s="45">
        <f>SUM(H168:H174)</f>
        <v/>
      </c>
      <c r="I175" s="45">
        <f>SUM(I168:I174)</f>
        <v/>
      </c>
      <c r="J175" s="45">
        <f>SUM(J168:J174)</f>
        <v/>
      </c>
      <c r="K175" s="45">
        <f>SUM(K168:K174)</f>
        <v/>
      </c>
    </row>
    <row r="176" ht="12" customFormat="1" customHeight="1" s="19">
      <c r="B176" s="10" t="inlineStr">
        <is>
          <t>Таблица 15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27" customFormat="1" customHeight="1" s="19">
      <c r="B177" s="78" t="inlineStr">
        <is>
          <t xml:space="preserve">Пользователи облаков в 2025 году, % от выручки </t>
        </is>
      </c>
      <c r="C177" s="143" t="n"/>
      <c r="D177" s="143" t="n"/>
      <c r="E177" s="143" t="n"/>
      <c r="F177" s="143" t="n"/>
      <c r="G177" s="51" t="n"/>
      <c r="H177" s="46" t="inlineStr">
        <is>
          <t>IaaS, %</t>
        </is>
      </c>
      <c r="I177" s="46" t="inlineStr">
        <is>
          <t>PaaS, %</t>
        </is>
      </c>
      <c r="J177" s="46" t="inlineStr">
        <is>
          <t>SaaS, %</t>
        </is>
      </c>
      <c r="K177" s="44" t="inlineStr">
        <is>
          <t>Инфо-без, %</t>
        </is>
      </c>
    </row>
    <row r="178" ht="12" customFormat="1" customHeight="1" s="19">
      <c r="B178" s="145" t="inlineStr">
        <is>
          <t>Банки, финансовые услуги, страхование</t>
        </is>
      </c>
      <c r="C178" s="143" t="n"/>
      <c r="D178" s="143" t="n"/>
      <c r="E178" s="143" t="n"/>
      <c r="F178" s="143" t="n"/>
      <c r="G178" s="144" t="n"/>
      <c r="H178" s="9" t="n">
        <v>0.06</v>
      </c>
      <c r="I178" s="9" t="n">
        <v>0.25</v>
      </c>
      <c r="J178" s="9" t="n"/>
      <c r="K178" s="9" t="n">
        <v>0.05</v>
      </c>
    </row>
    <row r="179" ht="12" customFormat="1" customHeight="1" s="19">
      <c r="B179" s="145" t="inlineStr">
        <is>
          <t xml:space="preserve">Бюджетные организации и госструктуры </t>
        </is>
      </c>
      <c r="C179" s="143" t="n"/>
      <c r="D179" s="143" t="n"/>
      <c r="E179" s="143" t="n"/>
      <c r="F179" s="143" t="n"/>
      <c r="G179" s="144" t="n"/>
      <c r="H179" s="9" t="n">
        <v>0.18</v>
      </c>
      <c r="I179" s="9" t="n"/>
      <c r="J179" s="9" t="n"/>
      <c r="K179" s="9" t="n">
        <v>0.23</v>
      </c>
    </row>
    <row r="180" ht="12" customFormat="1" customHeight="1" s="19">
      <c r="B180" s="145" t="inlineStr">
        <is>
          <t>Разработчики ПО и ИТ оборудования</t>
        </is>
      </c>
      <c r="C180" s="143" t="n"/>
      <c r="D180" s="143" t="n"/>
      <c r="E180" s="143" t="n"/>
      <c r="F180" s="143" t="n"/>
      <c r="G180" s="144" t="n"/>
      <c r="H180" s="9" t="n">
        <v>0.08</v>
      </c>
      <c r="I180" s="9" t="n">
        <v>0.55</v>
      </c>
      <c r="J180" s="9" t="n"/>
      <c r="K180" s="9" t="n">
        <v>0.04</v>
      </c>
    </row>
    <row r="181" ht="12" customFormat="1" customHeight="1" s="19">
      <c r="B181" s="145" t="inlineStr">
        <is>
          <t>Облачные провайдеры</t>
        </is>
      </c>
      <c r="C181" s="143" t="n"/>
      <c r="D181" s="143" t="n"/>
      <c r="E181" s="143" t="n"/>
      <c r="F181" s="143" t="n"/>
      <c r="G181" s="144" t="n"/>
      <c r="H181" s="9" t="n">
        <v>0.02</v>
      </c>
      <c r="I181" s="9" t="n"/>
      <c r="J181" s="9" t="n"/>
      <c r="K181" s="9" t="n">
        <v>0.02</v>
      </c>
    </row>
    <row r="182" ht="12" customFormat="1" customHeight="1" s="19">
      <c r="B182" s="145" t="inlineStr">
        <is>
          <t>Операторы связи</t>
        </is>
      </c>
      <c r="C182" s="143" t="n"/>
      <c r="D182" s="143" t="n"/>
      <c r="E182" s="143" t="n"/>
      <c r="F182" s="143" t="n"/>
      <c r="G182" s="144" t="n"/>
      <c r="H182" s="9" t="n">
        <v>0.1</v>
      </c>
      <c r="I182" s="9" t="n"/>
      <c r="J182" s="9" t="n"/>
      <c r="K182" s="9" t="n">
        <v>0.1</v>
      </c>
    </row>
    <row r="183" ht="12" customFormat="1" customHeight="1" s="19">
      <c r="B183" s="145" t="inlineStr">
        <is>
          <t>Медицина и фармацевтика</t>
        </is>
      </c>
      <c r="C183" s="143" t="n"/>
      <c r="D183" s="143" t="n"/>
      <c r="E183" s="143" t="n"/>
      <c r="F183" s="143" t="n"/>
      <c r="G183" s="144" t="n"/>
      <c r="H183" s="9" t="n">
        <v>0.07000000000000001</v>
      </c>
      <c r="I183" s="9" t="n"/>
      <c r="J183" s="9" t="n"/>
      <c r="K183" s="9" t="n">
        <v>0.05</v>
      </c>
    </row>
    <row r="184" ht="12" customFormat="1" customHeight="1" s="19">
      <c r="B184" s="145" t="inlineStr">
        <is>
          <t>Нефте-газ, добыча полезных ископаемых</t>
        </is>
      </c>
      <c r="C184" s="143" t="n"/>
      <c r="D184" s="143" t="n"/>
      <c r="E184" s="143" t="n"/>
      <c r="F184" s="143" t="n"/>
      <c r="G184" s="144" t="n"/>
      <c r="H184" s="9" t="n">
        <v>0.09</v>
      </c>
      <c r="I184" s="9" t="n">
        <v>0.07000000000000001</v>
      </c>
      <c r="J184" s="9" t="n"/>
      <c r="K184" s="9" t="n">
        <v>0.09</v>
      </c>
    </row>
    <row r="185" ht="12" customFormat="1" customHeight="1" s="19">
      <c r="B185" s="145" t="inlineStr">
        <is>
          <t>Тяжелая промышленнность, кроме добычи</t>
        </is>
      </c>
      <c r="C185" s="143" t="n"/>
      <c r="D185" s="143" t="n"/>
      <c r="E185" s="143" t="n"/>
      <c r="F185" s="143" t="n"/>
      <c r="G185" s="144" t="n"/>
      <c r="H185" s="9" t="n">
        <v>0.01</v>
      </c>
      <c r="I185" s="9" t="n"/>
      <c r="J185" s="9" t="n"/>
      <c r="K185" s="9" t="n">
        <v>0.02</v>
      </c>
    </row>
    <row r="186" ht="12" customFormat="1" customHeight="1" s="19">
      <c r="B186" s="75" t="inlineStr">
        <is>
          <t>Электроэнергетика</t>
        </is>
      </c>
      <c r="C186" s="76" t="n"/>
      <c r="D186" s="76" t="n"/>
      <c r="E186" s="76" t="n"/>
      <c r="F186" s="76" t="n"/>
      <c r="G186" s="77" t="n"/>
      <c r="H186" s="9" t="n">
        <v>0.14</v>
      </c>
      <c r="I186" s="9" t="n"/>
      <c r="J186" s="9" t="n"/>
      <c r="K186" s="9" t="n">
        <v>0.14</v>
      </c>
    </row>
    <row r="187" ht="12" customFormat="1" customHeight="1" s="19">
      <c r="B187" s="145" t="inlineStr">
        <is>
          <t>Образование, инжиниринг, наука</t>
        </is>
      </c>
      <c r="C187" s="143" t="n"/>
      <c r="D187" s="143" t="n"/>
      <c r="E187" s="143" t="n"/>
      <c r="F187" s="143" t="n"/>
      <c r="G187" s="144" t="n"/>
      <c r="H187" s="9" t="n">
        <v>0.13</v>
      </c>
      <c r="I187" s="9" t="n"/>
      <c r="J187" s="9" t="n"/>
      <c r="K187" s="9" t="n">
        <v>0.15</v>
      </c>
    </row>
    <row r="188" ht="12" customFormat="1" customHeight="1" s="19">
      <c r="B188" s="75" t="inlineStr">
        <is>
          <t>Медиа, реклама</t>
        </is>
      </c>
      <c r="C188" s="76" t="n"/>
      <c r="D188" s="76" t="n"/>
      <c r="E188" s="76" t="n"/>
      <c r="F188" s="76" t="n"/>
      <c r="G188" s="77" t="n"/>
      <c r="H188" s="9" t="n">
        <v>0.02</v>
      </c>
      <c r="I188" s="9" t="n"/>
      <c r="J188" s="9" t="n"/>
      <c r="K188" s="9" t="n">
        <v>0.02</v>
      </c>
    </row>
    <row r="189" ht="11.5" customFormat="1" customHeight="1" s="19">
      <c r="B189" s="145" t="inlineStr">
        <is>
          <t>Оптовая и розничная торговля</t>
        </is>
      </c>
      <c r="C189" s="143" t="n"/>
      <c r="D189" s="143" t="n"/>
      <c r="E189" s="143" t="n"/>
      <c r="F189" s="143" t="n"/>
      <c r="G189" s="144" t="n"/>
      <c r="H189" s="9" t="n">
        <v>0.04</v>
      </c>
      <c r="I189" s="9" t="n"/>
      <c r="J189" s="9" t="n"/>
      <c r="K189" s="9" t="n">
        <v>0.03</v>
      </c>
    </row>
    <row r="190" ht="12" customFormat="1" customHeight="1" s="19">
      <c r="B190" s="75" t="inlineStr">
        <is>
          <t>Легкая промышленность</t>
        </is>
      </c>
      <c r="C190" s="76" t="n"/>
      <c r="D190" s="76" t="n"/>
      <c r="E190" s="76" t="n"/>
      <c r="F190" s="76" t="n"/>
      <c r="G190" s="77" t="n"/>
      <c r="H190" s="9" t="n">
        <v>0.02</v>
      </c>
      <c r="I190" s="9" t="n"/>
      <c r="J190" s="9" t="n"/>
      <c r="K190" s="9" t="n">
        <v>0.01</v>
      </c>
    </row>
    <row r="191" ht="12" customFormat="1" customHeight="1" s="19">
      <c r="B191" s="145" t="inlineStr">
        <is>
          <t>Агпро-промышленный комплекс</t>
        </is>
      </c>
      <c r="C191" s="143" t="n"/>
      <c r="D191" s="143" t="n"/>
      <c r="E191" s="143" t="n"/>
      <c r="F191" s="143" t="n"/>
      <c r="G191" s="144" t="n"/>
      <c r="H191" s="9" t="n">
        <v>0.02</v>
      </c>
      <c r="I191" s="9" t="n"/>
      <c r="J191" s="9" t="n"/>
      <c r="K191" s="9" t="n"/>
    </row>
    <row r="192" ht="12" customFormat="1" customHeight="1" s="19">
      <c r="B192" s="145" t="inlineStr">
        <is>
          <t>Строительство и ЖКХ</t>
        </is>
      </c>
      <c r="C192" s="143" t="n"/>
      <c r="D192" s="143" t="n"/>
      <c r="E192" s="143" t="n"/>
      <c r="F192" s="143" t="n"/>
      <c r="G192" s="144" t="n"/>
      <c r="H192" s="9" t="n">
        <v>0.01</v>
      </c>
      <c r="I192" s="9" t="n"/>
      <c r="J192" s="9" t="n"/>
      <c r="K192" s="9" t="n"/>
    </row>
    <row r="193" ht="12" customFormat="1" customHeight="1" s="19">
      <c r="B193" s="145" t="inlineStr">
        <is>
          <t>Транспорт  и логистика</t>
        </is>
      </c>
      <c r="C193" s="143" t="n"/>
      <c r="D193" s="143" t="n"/>
      <c r="E193" s="143" t="n"/>
      <c r="F193" s="143" t="n"/>
      <c r="G193" s="144" t="n"/>
      <c r="H193" s="9" t="n">
        <v>0.01</v>
      </c>
      <c r="I193" s="9" t="n">
        <v>0.13</v>
      </c>
      <c r="J193" s="9" t="n"/>
      <c r="K193" s="9" t="n">
        <v>0.05</v>
      </c>
    </row>
    <row r="194" ht="12" customFormat="1" customHeight="1" s="19">
      <c r="B194" s="75" t="inlineStr">
        <is>
          <t>Недвижимость</t>
        </is>
      </c>
      <c r="C194" s="76" t="n"/>
      <c r="D194" s="76" t="n"/>
      <c r="E194" s="76" t="n"/>
      <c r="F194" s="76" t="n"/>
      <c r="G194" s="77" t="n"/>
      <c r="H194" s="9" t="n"/>
      <c r="I194" s="9" t="n"/>
      <c r="J194" s="9" t="n"/>
      <c r="K194" s="9" t="n"/>
    </row>
    <row r="195" ht="12" customFormat="1" customHeight="1" s="19">
      <c r="B195" s="75" t="inlineStr">
        <is>
          <t>Гостинично-ресторанный бизнес</t>
        </is>
      </c>
      <c r="C195" s="76" t="n"/>
      <c r="D195" s="76" t="n"/>
      <c r="E195" s="76" t="n"/>
      <c r="F195" s="76" t="n"/>
      <c r="G195" s="77" t="n"/>
      <c r="H195" s="9" t="n"/>
      <c r="I195" s="9" t="n"/>
      <c r="J195" s="9" t="n"/>
      <c r="K195" s="9" t="n"/>
    </row>
    <row r="196" ht="12" customFormat="1" customHeight="1" s="19">
      <c r="B196" s="145" t="inlineStr">
        <is>
          <t xml:space="preserve">Прочие </t>
        </is>
      </c>
      <c r="C196" s="143" t="n"/>
      <c r="D196" s="143" t="n"/>
      <c r="E196" s="143" t="n"/>
      <c r="F196" s="143" t="n"/>
      <c r="G196" s="144" t="n"/>
      <c r="H196" s="9" t="n"/>
      <c r="I196" s="9" t="n"/>
      <c r="J196" s="9" t="n"/>
      <c r="K196" s="9" t="n"/>
    </row>
    <row r="197" ht="12" customFormat="1" customHeight="1" s="19">
      <c r="B197" s="119" t="inlineStr">
        <is>
          <t>Итого (в сумме должно быть 100%)</t>
        </is>
      </c>
      <c r="C197" s="143" t="n"/>
      <c r="D197" s="143" t="n"/>
      <c r="E197" s="143" t="n"/>
      <c r="F197" s="143" t="n"/>
      <c r="G197" s="144" t="n"/>
      <c r="H197" s="45">
        <f>SUM(H178:H196)</f>
        <v/>
      </c>
      <c r="I197" s="45">
        <f>SUM(I178:I196)</f>
        <v/>
      </c>
      <c r="J197" s="45">
        <f>SUM(J178:J196)</f>
        <v/>
      </c>
      <c r="K197" s="45">
        <f>SUM(K178:K196)</f>
        <v/>
      </c>
    </row>
    <row r="198" ht="12" customFormat="1" customHeight="1" s="19">
      <c r="B198" s="10" t="inlineStr">
        <is>
          <t>Таблица 16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27" customFormat="1" customHeight="1" s="19">
      <c r="B199" s="78" t="inlineStr">
        <is>
          <t xml:space="preserve">Структура выручки  в 2025 г. по географии заказов, % </t>
        </is>
      </c>
      <c r="C199" s="143" t="n"/>
      <c r="D199" s="143" t="n"/>
      <c r="E199" s="143" t="n"/>
      <c r="F199" s="143" t="n"/>
      <c r="G199" s="51" t="n"/>
      <c r="H199" s="47" t="inlineStr">
        <is>
          <t>IaaS, %</t>
        </is>
      </c>
      <c r="I199" s="47" t="inlineStr">
        <is>
          <t>PaaS, %</t>
        </is>
      </c>
      <c r="J199" s="47" t="inlineStr">
        <is>
          <t>SaaS, %</t>
        </is>
      </c>
      <c r="K199" s="44" t="inlineStr">
        <is>
          <t>Инфо-без, %</t>
        </is>
      </c>
    </row>
    <row r="200" ht="12" customFormat="1" customHeight="1" s="19">
      <c r="B200" s="145" t="inlineStr">
        <is>
          <t>Москва и Московская обл. (МО)</t>
        </is>
      </c>
      <c r="C200" s="143" t="n"/>
      <c r="D200" s="143" t="n"/>
      <c r="E200" s="143" t="n"/>
      <c r="F200" s="143" t="n"/>
      <c r="G200" s="144" t="n"/>
      <c r="H200" s="48" t="n">
        <v>0.59</v>
      </c>
      <c r="I200" s="48" t="n"/>
      <c r="J200" s="48" t="n"/>
      <c r="K200" s="48" t="n">
        <v>0.67</v>
      </c>
    </row>
    <row r="201" ht="12" customFormat="1" customHeight="1" s="19">
      <c r="B201" s="75" t="inlineStr">
        <is>
          <t>Санкт-Петербург и Ленинградская обл. (ЛО)</t>
        </is>
      </c>
      <c r="C201" s="143" t="n"/>
      <c r="D201" s="143" t="n"/>
      <c r="E201" s="143" t="n"/>
      <c r="F201" s="143" t="n"/>
      <c r="G201" s="77" t="n"/>
      <c r="H201" s="48" t="n">
        <v>0.09</v>
      </c>
      <c r="I201" s="48" t="n"/>
      <c r="J201" s="48" t="n"/>
      <c r="K201" s="48" t="n">
        <v>0.091</v>
      </c>
    </row>
    <row r="202" ht="12" customFormat="1" customHeight="1" s="19">
      <c r="B202" s="75" t="inlineStr">
        <is>
          <t>Центральный ФО (без МО)</t>
        </is>
      </c>
      <c r="C202" s="143" t="n"/>
      <c r="D202" s="143" t="n"/>
      <c r="E202" s="143" t="n"/>
      <c r="F202" s="143" t="n"/>
      <c r="G202" s="77" t="n"/>
      <c r="H202" s="48" t="n">
        <v>0.041</v>
      </c>
      <c r="I202" s="48" t="n"/>
      <c r="J202" s="48" t="n"/>
      <c r="K202" s="48" t="n">
        <v>0.05</v>
      </c>
    </row>
    <row r="203" ht="12" customFormat="1" customHeight="1" s="19">
      <c r="B203" s="75" t="inlineStr">
        <is>
          <t>Северо-Западный ФО (без ЛО)</t>
        </is>
      </c>
      <c r="C203" s="143" t="n"/>
      <c r="D203" s="143" t="n"/>
      <c r="E203" s="143" t="n"/>
      <c r="F203" s="143" t="n"/>
      <c r="G203" s="77" t="n"/>
      <c r="H203" s="48" t="n">
        <v>0.01</v>
      </c>
      <c r="I203" s="48" t="n"/>
      <c r="J203" s="48" t="n"/>
      <c r="K203" s="48" t="n">
        <v>0.01</v>
      </c>
    </row>
    <row r="204" ht="12" customFormat="1" customHeight="1" s="19">
      <c r="B204" s="75" t="inlineStr">
        <is>
          <t>Приволжский ФО</t>
        </is>
      </c>
      <c r="C204" s="143" t="n"/>
      <c r="D204" s="143" t="n"/>
      <c r="E204" s="143" t="n"/>
      <c r="F204" s="143" t="n"/>
      <c r="G204" s="77" t="n"/>
      <c r="H204" s="48" t="n">
        <v>0.01</v>
      </c>
      <c r="I204" s="48" t="n"/>
      <c r="J204" s="48" t="n"/>
      <c r="K204" s="48" t="n">
        <v>0.01</v>
      </c>
    </row>
    <row r="205" ht="12" customFormat="1" customHeight="1" s="19">
      <c r="B205" s="75" t="inlineStr">
        <is>
          <t>Южный ФО</t>
        </is>
      </c>
      <c r="C205" s="143" t="n"/>
      <c r="D205" s="143" t="n"/>
      <c r="E205" s="143" t="n"/>
      <c r="F205" s="143" t="n"/>
      <c r="G205" s="77" t="n"/>
      <c r="H205" s="48" t="n">
        <v>0.01</v>
      </c>
      <c r="I205" s="48" t="n"/>
      <c r="J205" s="48" t="n"/>
      <c r="K205" s="48" t="n">
        <v>0.01</v>
      </c>
    </row>
    <row r="206" ht="12" customFormat="1" customHeight="1" s="19">
      <c r="B206" s="75" t="inlineStr">
        <is>
          <t>Северо-Кавказский ФО</t>
        </is>
      </c>
      <c r="C206" s="143" t="n"/>
      <c r="D206" s="143" t="n"/>
      <c r="E206" s="143" t="n"/>
      <c r="F206" s="143" t="n"/>
      <c r="G206" s="77" t="n"/>
      <c r="H206" s="48" t="n">
        <v>0</v>
      </c>
      <c r="I206" s="48" t="n"/>
      <c r="J206" s="48" t="n"/>
      <c r="K206" s="48" t="n">
        <v>0</v>
      </c>
    </row>
    <row r="207" ht="12" customFormat="1" customHeight="1" s="19">
      <c r="B207" s="75" t="inlineStr">
        <is>
          <t>Уральский ФО</t>
        </is>
      </c>
      <c r="C207" s="143" t="n"/>
      <c r="D207" s="143" t="n"/>
      <c r="E207" s="143" t="n"/>
      <c r="F207" s="143" t="n"/>
      <c r="G207" s="77" t="n"/>
      <c r="H207" s="48" t="n">
        <v>0.01</v>
      </c>
      <c r="I207" s="48" t="n"/>
      <c r="J207" s="48" t="n"/>
      <c r="K207" s="48" t="n">
        <v>0.01</v>
      </c>
    </row>
    <row r="208" ht="12" customFormat="1" customHeight="1" s="19">
      <c r="B208" s="75" t="inlineStr">
        <is>
          <t>Сибирский ФО</t>
        </is>
      </c>
      <c r="C208" s="143" t="n"/>
      <c r="D208" s="143" t="n"/>
      <c r="E208" s="143" t="n"/>
      <c r="F208" s="143" t="n"/>
      <c r="G208" s="77" t="n"/>
      <c r="H208" s="48" t="n">
        <v>0.03</v>
      </c>
      <c r="I208" s="48" t="n"/>
      <c r="J208" s="48" t="n"/>
      <c r="K208" s="48" t="n">
        <v>0.02</v>
      </c>
    </row>
    <row r="209" ht="12" customFormat="1" customHeight="1" s="19">
      <c r="B209" s="75" t="inlineStr">
        <is>
          <t>Дальневосточный ФО</t>
        </is>
      </c>
      <c r="C209" s="143" t="n"/>
      <c r="D209" s="143" t="n"/>
      <c r="E209" s="143" t="n"/>
      <c r="F209" s="143" t="n"/>
      <c r="G209" s="77" t="n"/>
      <c r="H209" s="48" t="n">
        <v>0.01</v>
      </c>
      <c r="I209" s="48" t="n"/>
      <c r="J209" s="48" t="n"/>
      <c r="K209" s="48" t="n">
        <v>0.01</v>
      </c>
    </row>
    <row r="210" ht="13.5" customFormat="1" customHeight="1" s="19">
      <c r="B210" s="154" t="inlineStr">
        <is>
          <t>Иностранные 
заказчики</t>
        </is>
      </c>
      <c r="C210" s="149" t="n"/>
      <c r="D210" s="145" t="inlineStr">
        <is>
          <t>Тамож. союз (Армения, Беларусь, Казахстан, Кыргызстан)</t>
        </is>
      </c>
      <c r="E210" s="143" t="n"/>
      <c r="F210" s="143" t="n"/>
      <c r="G210" s="144" t="n"/>
      <c r="H210" s="48" t="n">
        <v>0.03</v>
      </c>
      <c r="I210" s="48" t="n"/>
      <c r="J210" s="48" t="n"/>
      <c r="K210" s="48" t="n"/>
    </row>
    <row r="211" ht="12" customFormat="1" customHeight="1" s="19">
      <c r="B211" s="155" t="n"/>
      <c r="C211" s="156" t="n"/>
      <c r="D211" s="145" t="inlineStr">
        <is>
          <t>Европа</t>
        </is>
      </c>
      <c r="E211" s="143" t="n"/>
      <c r="F211" s="143" t="n"/>
      <c r="G211" s="144" t="n"/>
      <c r="H211" s="49" t="n">
        <v>0</v>
      </c>
      <c r="I211" s="49" t="n"/>
      <c r="J211" s="49" t="n"/>
      <c r="K211" s="49" t="n">
        <v>0</v>
      </c>
    </row>
    <row r="212" ht="12" customFormat="1" customHeight="1" s="19">
      <c r="B212" s="155" t="n"/>
      <c r="C212" s="156" t="n"/>
      <c r="D212" s="145" t="inlineStr">
        <is>
          <t>Китай</t>
        </is>
      </c>
      <c r="E212" s="143" t="n"/>
      <c r="F212" s="143" t="n"/>
      <c r="G212" s="144" t="n"/>
      <c r="H212" s="48" t="n"/>
      <c r="I212" s="48" t="n"/>
      <c r="J212" s="48" t="n"/>
      <c r="K212" s="48" t="n"/>
    </row>
    <row r="213" ht="12" customFormat="1" customHeight="1" s="19">
      <c r="B213" s="155" t="n"/>
      <c r="C213" s="156" t="n"/>
      <c r="D213" s="145" t="inlineStr">
        <is>
          <t>Юго-восточная Азия</t>
        </is>
      </c>
      <c r="E213" s="143" t="n"/>
      <c r="F213" s="143" t="n"/>
      <c r="G213" s="144" t="n"/>
      <c r="H213" s="48" t="n"/>
      <c r="I213" s="48" t="n"/>
      <c r="J213" s="48" t="n"/>
      <c r="K213" s="48" t="n"/>
    </row>
    <row r="214" ht="12" customFormat="1" customHeight="1" s="19">
      <c r="B214" s="155" t="n"/>
      <c r="C214" s="156" t="n"/>
      <c r="D214" s="145" t="inlineStr">
        <is>
          <t>Ближний Восток</t>
        </is>
      </c>
      <c r="E214" s="143" t="n"/>
      <c r="F214" s="143" t="n"/>
      <c r="G214" s="144" t="n"/>
      <c r="H214" s="48" t="n"/>
      <c r="I214" s="48" t="n"/>
      <c r="J214" s="48" t="n"/>
      <c r="K214" s="48" t="n"/>
    </row>
    <row r="215" ht="12" customFormat="1" customHeight="1" s="19">
      <c r="B215" s="155" t="n"/>
      <c r="C215" s="156" t="n"/>
      <c r="D215" s="145" t="inlineStr">
        <is>
          <t>Африка</t>
        </is>
      </c>
      <c r="E215" s="143" t="n"/>
      <c r="F215" s="143" t="n"/>
      <c r="G215" s="144" t="n"/>
      <c r="H215" s="48" t="n"/>
      <c r="I215" s="48" t="n"/>
      <c r="J215" s="48" t="n"/>
      <c r="K215" s="48" t="n"/>
    </row>
    <row r="216" ht="12" customFormat="1" customHeight="1" s="19">
      <c r="B216" s="155" t="n"/>
      <c r="C216" s="156" t="n"/>
      <c r="D216" s="145" t="inlineStr">
        <is>
          <t xml:space="preserve">США, Канада </t>
        </is>
      </c>
      <c r="E216" s="143" t="n"/>
      <c r="F216" s="143" t="n"/>
      <c r="G216" s="144" t="n"/>
      <c r="H216" s="48" t="n">
        <v>0</v>
      </c>
      <c r="I216" s="48" t="n"/>
      <c r="J216" s="48" t="n"/>
      <c r="K216" s="48" t="n">
        <v>0</v>
      </c>
    </row>
    <row r="217" ht="12" customFormat="1" customHeight="1" s="19">
      <c r="B217" s="157" t="n"/>
      <c r="C217" s="158" t="n"/>
      <c r="D217" s="145" t="inlineStr">
        <is>
          <t>другие страны</t>
        </is>
      </c>
      <c r="E217" s="143" t="n"/>
      <c r="F217" s="143" t="n"/>
      <c r="G217" s="144" t="n"/>
      <c r="H217" s="48" t="n">
        <v>0.16</v>
      </c>
      <c r="I217" s="48" t="n"/>
      <c r="J217" s="48" t="n"/>
      <c r="K217" s="48" t="n">
        <v>0.11</v>
      </c>
    </row>
    <row r="218" ht="12" customFormat="1" customHeight="1" s="19">
      <c r="B218" s="85" t="inlineStr">
        <is>
          <t>Итого (в сумме должно быть 100%)</t>
        </is>
      </c>
      <c r="C218" s="143" t="n"/>
      <c r="D218" s="143" t="n"/>
      <c r="E218" s="143" t="n"/>
      <c r="F218" s="143" t="n"/>
      <c r="G218" s="87" t="n"/>
      <c r="H218" s="45">
        <f>SUM(H200:H217)</f>
        <v/>
      </c>
      <c r="I218" s="45">
        <f>SUM(I200:I217)</f>
        <v/>
      </c>
      <c r="J218" s="45">
        <f>SUM(J200:J217)</f>
        <v/>
      </c>
      <c r="K218" s="45">
        <f>SUM(K200:K217)</f>
        <v/>
      </c>
    </row>
    <row r="219" ht="12" customFormat="1" customHeight="1" s="19">
      <c r="B219" s="10" t="inlineStr">
        <is>
          <t>Таблица 17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27" customFormat="1" customHeight="1" s="19">
      <c r="B220" s="78" t="inlineStr">
        <is>
          <t>Доля выручки от компаний внутри экосистемы</t>
        </is>
      </c>
      <c r="C220" s="143" t="n"/>
      <c r="D220" s="143" t="n"/>
      <c r="E220" s="143" t="n"/>
      <c r="F220" s="143" t="n"/>
      <c r="G220" s="51" t="n"/>
      <c r="H220" s="47" t="inlineStr">
        <is>
          <t>IaaS, %</t>
        </is>
      </c>
      <c r="I220" s="47" t="inlineStr">
        <is>
          <t>PaaS, %</t>
        </is>
      </c>
      <c r="J220" s="47" t="inlineStr">
        <is>
          <t>SaaS, %</t>
        </is>
      </c>
      <c r="K220" s="44" t="inlineStr">
        <is>
          <t>Инфо-без, %</t>
        </is>
      </c>
    </row>
    <row r="221" ht="12" customFormat="1" customHeight="1" s="19">
      <c r="B221" s="75" t="inlineStr">
        <is>
          <t>на конец 2025 года</t>
        </is>
      </c>
      <c r="C221" s="76" t="n"/>
      <c r="D221" s="76" t="n"/>
      <c r="E221" s="76" t="n"/>
      <c r="F221" s="76" t="n"/>
      <c r="G221" s="77" t="n"/>
      <c r="H221" s="48" t="n">
        <v>0.67</v>
      </c>
      <c r="I221" s="48" t="n">
        <v>0.05</v>
      </c>
      <c r="J221" s="48" t="n">
        <v>0.25</v>
      </c>
      <c r="K221" s="48" t="n">
        <v>0.03</v>
      </c>
    </row>
    <row r="222" ht="12" customFormat="1" customHeight="1" s="19"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3.5" customFormat="1" customHeight="1" s="19">
      <c r="B223" s="122" t="inlineStr">
        <is>
          <t>Комментарии, примечания</t>
        </is>
      </c>
      <c r="C223" s="143" t="n"/>
      <c r="D223" s="143" t="n"/>
      <c r="E223" s="143" t="n"/>
      <c r="F223" s="143" t="n"/>
      <c r="G223" s="143" t="n"/>
      <c r="H223" s="143" t="n"/>
      <c r="I223" s="143" t="n"/>
      <c r="J223" s="143" t="n"/>
      <c r="K223" s="144" t="n"/>
    </row>
    <row r="224" ht="25.5" customFormat="1" customHeight="1" s="19">
      <c r="B224" s="130" t="inlineStr">
        <is>
          <t>Автозаполнение на базе анкеты 2025-4q. Столбец 2025 (итог) перенесён из итогов 2025. Кварталы 2026 = годовой прогноз компании (2026), распределённый по квартальной сезонности 2025 из прошлой анкеты (доли 21/25/26/27%). Bare Metal 2025 разбит на без/с GPU в пропорции прогноза 2026. Таблицы 9,11,12,13,14 и кол-во клиентов данных не имели ни в одной анкете — оставлены пустыми.</t>
        </is>
      </c>
      <c r="C224" s="159" t="n"/>
      <c r="D224" s="159" t="n"/>
      <c r="E224" s="159" t="n"/>
      <c r="F224" s="159" t="n"/>
      <c r="G224" s="159" t="n"/>
      <c r="H224" s="159" t="n"/>
      <c r="I224" s="159" t="n"/>
      <c r="J224" s="159" t="n"/>
      <c r="K224" s="160" t="n"/>
      <c r="P224" s="33" t="n"/>
      <c r="Q224" s="33" t="n"/>
      <c r="R224" s="33" t="n"/>
      <c r="S224" s="33" t="n"/>
      <c r="T224" s="33" t="n"/>
      <c r="U224" s="33" t="n"/>
      <c r="V224" s="33" t="n"/>
      <c r="W224" s="33" t="n"/>
    </row>
    <row r="225" ht="12" customFormat="1" customHeight="1" s="19"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S225" s="121" t="n"/>
      <c r="T225" s="137" t="n"/>
      <c r="U225" s="137" t="n"/>
      <c r="V225" s="105" t="n"/>
    </row>
    <row r="226" ht="12" customFormat="1" customHeight="1" s="19">
      <c r="B226" s="161" t="inlineStr">
        <is>
          <t>ФИО сотрудника, заполнившего анкету</t>
        </is>
      </c>
      <c r="C226" s="143" t="n"/>
      <c r="D226" s="144" t="n"/>
      <c r="E226" s="120" t="inlineStr">
        <is>
          <t>Клиентова Зоя Андреевна</t>
        </is>
      </c>
      <c r="F226" s="138" t="n"/>
      <c r="G226" s="138" t="n"/>
      <c r="H226" s="138" t="n"/>
      <c r="I226" s="138" t="n"/>
      <c r="J226" s="138" t="n"/>
      <c r="K226" s="139" t="n"/>
      <c r="Q226" s="121" t="n"/>
      <c r="R226" s="137" t="n"/>
      <c r="S226" s="137" t="n"/>
      <c r="T226" s="106" t="n"/>
    </row>
    <row r="227" ht="12" customFormat="1" customHeight="1" s="19">
      <c r="B227" s="161" t="inlineStr">
        <is>
          <t>Должность</t>
        </is>
      </c>
      <c r="C227" s="143" t="n"/>
      <c r="D227" s="144" t="n"/>
      <c r="E227" s="120" t="inlineStr">
        <is>
          <t>Руководитель отдела маркетинга</t>
        </is>
      </c>
      <c r="F227" s="138" t="n"/>
      <c r="G227" s="138" t="n"/>
      <c r="H227" s="138" t="n"/>
      <c r="I227" s="138" t="n"/>
      <c r="J227" s="138" t="n"/>
      <c r="K227" s="139" t="n"/>
      <c r="Q227" s="33" t="n"/>
      <c r="R227" s="33" t="n"/>
      <c r="S227" s="33" t="n"/>
      <c r="T227" s="33" t="n"/>
      <c r="U227" s="33" t="n"/>
      <c r="V227" s="33" t="n"/>
      <c r="W227" s="33" t="n"/>
      <c r="X227" s="33" t="n"/>
    </row>
    <row r="228" customFormat="1" s="19">
      <c r="B228" s="161" t="inlineStr">
        <is>
          <t>Телефон, с кодом города</t>
        </is>
      </c>
      <c r="C228" s="143" t="n"/>
      <c r="D228" s="144" t="n"/>
      <c r="E228" s="120" t="inlineStr">
        <is>
          <t>74952680412 доб. 433</t>
        </is>
      </c>
      <c r="F228" s="138" t="n"/>
      <c r="G228" s="138" t="n"/>
      <c r="H228" s="138" t="n"/>
      <c r="I228" s="138" t="n"/>
      <c r="J228" s="138" t="n"/>
      <c r="K228" s="139" t="n"/>
      <c r="Q228" s="33" t="n"/>
      <c r="R228" s="107" t="n"/>
    </row>
    <row r="229" ht="12" customFormat="1" customHeight="1" s="19">
      <c r="B229" s="161" t="inlineStr">
        <is>
          <t>E-mail сотрудника</t>
        </is>
      </c>
      <c r="C229" s="143" t="n"/>
      <c r="D229" s="144" t="n"/>
      <c r="E229" s="120" t="inlineStr">
        <is>
          <t>klientova@cloud4y.ru</t>
        </is>
      </c>
      <c r="F229" s="138" t="n"/>
      <c r="G229" s="138" t="n"/>
      <c r="H229" s="138" t="n"/>
      <c r="I229" s="138" t="n"/>
      <c r="J229" s="138" t="n"/>
      <c r="K229" s="139" t="n"/>
    </row>
    <row r="230" ht="12" customFormat="1" customHeight="1" s="19"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</row>
    <row r="231" ht="13.5" customFormat="1" customHeight="1" s="19">
      <c r="A231" s="97" t="n"/>
      <c r="B231" s="137" t="n"/>
      <c r="C231" s="137" t="n"/>
      <c r="D231" s="137" t="n"/>
      <c r="E231" s="137" t="n"/>
      <c r="F231" s="137" t="n"/>
      <c r="G231" s="137" t="n"/>
      <c r="H231" s="137" t="n"/>
      <c r="I231" s="137" t="n"/>
      <c r="J231" s="137" t="n"/>
      <c r="K231" s="137" t="n"/>
      <c r="L231" s="137" t="n"/>
      <c r="M231" s="137" t="n"/>
      <c r="N231" s="137" t="n"/>
      <c r="O231" s="137" t="n"/>
      <c r="P231" s="137" t="n"/>
      <c r="Q231" s="137" t="n"/>
      <c r="R231" s="137" t="n"/>
      <c r="S231" s="137" t="n"/>
      <c r="T231" s="137" t="n"/>
      <c r="U231" s="137" t="n"/>
      <c r="V231" s="137" t="n"/>
      <c r="W231" s="137" t="n"/>
      <c r="X231" s="137" t="n"/>
      <c r="Y231" s="137" t="n"/>
      <c r="Z231" s="137" t="n"/>
    </row>
  </sheetData>
  <mergeCells count="229">
    <mergeCell ref="B58:C58"/>
    <mergeCell ref="D58:E58"/>
    <mergeCell ref="B40:E40"/>
    <mergeCell ref="B53:E53"/>
    <mergeCell ref="B57:E57"/>
    <mergeCell ref="B81:C81"/>
    <mergeCell ref="D81:E81"/>
    <mergeCell ref="B62:E62"/>
    <mergeCell ref="B66:E66"/>
    <mergeCell ref="B70:E70"/>
    <mergeCell ref="B74:E74"/>
    <mergeCell ref="B75:E75"/>
    <mergeCell ref="B78:E78"/>
    <mergeCell ref="B52:E52"/>
    <mergeCell ref="B41:E41"/>
    <mergeCell ref="B45:E45"/>
    <mergeCell ref="B48:E48"/>
    <mergeCell ref="B76:E76"/>
    <mergeCell ref="B77:E77"/>
    <mergeCell ref="B73:E73"/>
    <mergeCell ref="B229:D229"/>
    <mergeCell ref="B59:E59"/>
    <mergeCell ref="B82:E82"/>
    <mergeCell ref="B144:D144"/>
    <mergeCell ref="B84:E84"/>
    <mergeCell ref="B154:G154"/>
    <mergeCell ref="B155:G155"/>
    <mergeCell ref="B223:K223"/>
    <mergeCell ref="B224:K224"/>
    <mergeCell ref="E226:K226"/>
    <mergeCell ref="B112:E112"/>
    <mergeCell ref="B171:F171"/>
    <mergeCell ref="B165:F165"/>
    <mergeCell ref="B149:G149"/>
    <mergeCell ref="B150:G150"/>
    <mergeCell ref="B158:G158"/>
    <mergeCell ref="B161:F161"/>
    <mergeCell ref="B182:G182"/>
    <mergeCell ref="B183:G183"/>
    <mergeCell ref="B184:G184"/>
    <mergeCell ref="B187:G187"/>
    <mergeCell ref="B189:G189"/>
    <mergeCell ref="E229:K229"/>
    <mergeCell ref="B61:E61"/>
    <mergeCell ref="B56:E56"/>
    <mergeCell ref="B43:E43"/>
    <mergeCell ref="B54:E54"/>
    <mergeCell ref="B55:E55"/>
    <mergeCell ref="S225:U225"/>
    <mergeCell ref="B226:D226"/>
    <mergeCell ref="Q226:S226"/>
    <mergeCell ref="B126:C126"/>
    <mergeCell ref="B127:C127"/>
    <mergeCell ref="B128:F128"/>
    <mergeCell ref="B136:L136"/>
    <mergeCell ref="B131:F131"/>
    <mergeCell ref="B139:J139"/>
    <mergeCell ref="B140:J140"/>
    <mergeCell ref="B141:J141"/>
    <mergeCell ref="B142:J142"/>
    <mergeCell ref="B143:J143"/>
    <mergeCell ref="E144:J144"/>
    <mergeCell ref="B147:K147"/>
    <mergeCell ref="K139:L139"/>
    <mergeCell ref="B80:E80"/>
    <mergeCell ref="K144:L144"/>
    <mergeCell ref="B83:E83"/>
    <mergeCell ref="K145:L145"/>
    <mergeCell ref="B201:F201"/>
    <mergeCell ref="B202:F202"/>
    <mergeCell ref="B203:F203"/>
    <mergeCell ref="B200:G200"/>
    <mergeCell ref="B152:G152"/>
    <mergeCell ref="B153:G153"/>
    <mergeCell ref="E227:K227"/>
    <mergeCell ref="E228:K228"/>
    <mergeCell ref="B178:G178"/>
    <mergeCell ref="B179:G179"/>
    <mergeCell ref="B180:G180"/>
    <mergeCell ref="B181:G181"/>
    <mergeCell ref="D216:G216"/>
    <mergeCell ref="B159:F159"/>
    <mergeCell ref="B160:F160"/>
    <mergeCell ref="B162:F162"/>
    <mergeCell ref="B163:F163"/>
    <mergeCell ref="B10:E10"/>
    <mergeCell ref="B11:E11"/>
    <mergeCell ref="B12:E12"/>
    <mergeCell ref="B9:E9"/>
    <mergeCell ref="B13:E13"/>
    <mergeCell ref="B36:E36"/>
    <mergeCell ref="B4:D4"/>
    <mergeCell ref="B6:D6"/>
    <mergeCell ref="E4:Z4"/>
    <mergeCell ref="E6:Z6"/>
    <mergeCell ref="G8:L8"/>
    <mergeCell ref="N8:S8"/>
    <mergeCell ref="U8:Z8"/>
    <mergeCell ref="B26:E26"/>
    <mergeCell ref="B35:C35"/>
    <mergeCell ref="B29:E29"/>
    <mergeCell ref="B27:E27"/>
    <mergeCell ref="B31:E31"/>
    <mergeCell ref="B24:E24"/>
    <mergeCell ref="B17:E17"/>
    <mergeCell ref="B19:E19"/>
    <mergeCell ref="B20:E20"/>
    <mergeCell ref="B18:E18"/>
    <mergeCell ref="B28:E28"/>
    <mergeCell ref="D217:G217"/>
    <mergeCell ref="V225:Z225"/>
    <mergeCell ref="T226:X226"/>
    <mergeCell ref="R228:X228"/>
    <mergeCell ref="B227:D227"/>
    <mergeCell ref="B39:E39"/>
    <mergeCell ref="B44:E44"/>
    <mergeCell ref="B33:E33"/>
    <mergeCell ref="B21:E21"/>
    <mergeCell ref="B46:E46"/>
    <mergeCell ref="B50:E50"/>
    <mergeCell ref="B22:E22"/>
    <mergeCell ref="B34:E34"/>
    <mergeCell ref="D35:E35"/>
    <mergeCell ref="B37:E37"/>
    <mergeCell ref="B23:E23"/>
    <mergeCell ref="B38:E38"/>
    <mergeCell ref="B42:E42"/>
    <mergeCell ref="B25:E25"/>
    <mergeCell ref="B32:E32"/>
    <mergeCell ref="B228:D228"/>
    <mergeCell ref="B218:F218"/>
    <mergeCell ref="D210:G210"/>
    <mergeCell ref="B199:F199"/>
    <mergeCell ref="B94:C94"/>
    <mergeCell ref="D94:E94"/>
    <mergeCell ref="B95:E95"/>
    <mergeCell ref="B106:E106"/>
    <mergeCell ref="B103:E103"/>
    <mergeCell ref="B113:E113"/>
    <mergeCell ref="B115:E115"/>
    <mergeCell ref="A231:Z231"/>
    <mergeCell ref="B164:F164"/>
    <mergeCell ref="B172:F172"/>
    <mergeCell ref="B173:F173"/>
    <mergeCell ref="B174:F174"/>
    <mergeCell ref="B210:C217"/>
    <mergeCell ref="B220:F220"/>
    <mergeCell ref="B204:F204"/>
    <mergeCell ref="B205:F205"/>
    <mergeCell ref="B206:F206"/>
    <mergeCell ref="B207:F207"/>
    <mergeCell ref="B208:F208"/>
    <mergeCell ref="B209:F209"/>
    <mergeCell ref="B168:F168"/>
    <mergeCell ref="B169:F169"/>
    <mergeCell ref="B197:G197"/>
    <mergeCell ref="B175:F175"/>
    <mergeCell ref="B85:E85"/>
    <mergeCell ref="B122:F122"/>
    <mergeCell ref="D126:F126"/>
    <mergeCell ref="B67:E67"/>
    <mergeCell ref="B68:E68"/>
    <mergeCell ref="B69:E69"/>
    <mergeCell ref="B71:E71"/>
    <mergeCell ref="B72:E72"/>
    <mergeCell ref="B97:E97"/>
    <mergeCell ref="B110:E110"/>
    <mergeCell ref="B111:E111"/>
    <mergeCell ref="B101:E101"/>
    <mergeCell ref="B88:E88"/>
    <mergeCell ref="B86:E86"/>
    <mergeCell ref="B87:E87"/>
    <mergeCell ref="B79:E79"/>
    <mergeCell ref="B99:E99"/>
    <mergeCell ref="B100:E100"/>
    <mergeCell ref="B105:C105"/>
    <mergeCell ref="D105:E105"/>
    <mergeCell ref="B102:E102"/>
    <mergeCell ref="B108:E108"/>
    <mergeCell ref="B109:E109"/>
    <mergeCell ref="B104:E104"/>
    <mergeCell ref="B151:G151"/>
    <mergeCell ref="B185:G185"/>
    <mergeCell ref="B191:G191"/>
    <mergeCell ref="B192:G192"/>
    <mergeCell ref="B193:G193"/>
    <mergeCell ref="B196:G196"/>
    <mergeCell ref="D117:E117"/>
    <mergeCell ref="B118:E118"/>
    <mergeCell ref="B116:E116"/>
    <mergeCell ref="B117:C117"/>
    <mergeCell ref="B156:G156"/>
    <mergeCell ref="B137:L137"/>
    <mergeCell ref="B120:L120"/>
    <mergeCell ref="K140:L140"/>
    <mergeCell ref="B132:F132"/>
    <mergeCell ref="B133:F133"/>
    <mergeCell ref="B134:F134"/>
    <mergeCell ref="B130:F130"/>
    <mergeCell ref="B170:F170"/>
    <mergeCell ref="B177:F177"/>
    <mergeCell ref="D127:F127"/>
    <mergeCell ref="B123:F123"/>
    <mergeCell ref="B124:F124"/>
    <mergeCell ref="B125:F125"/>
    <mergeCell ref="A1:S2"/>
    <mergeCell ref="T1:AA2"/>
    <mergeCell ref="B91:E91"/>
    <mergeCell ref="B89:E89"/>
    <mergeCell ref="B167:G167"/>
    <mergeCell ref="D215:G215"/>
    <mergeCell ref="D214:G214"/>
    <mergeCell ref="D213:G213"/>
    <mergeCell ref="D212:G212"/>
    <mergeCell ref="D211:G211"/>
    <mergeCell ref="B98:E98"/>
    <mergeCell ref="B93:E93"/>
    <mergeCell ref="B90:E90"/>
    <mergeCell ref="B114:E114"/>
    <mergeCell ref="K141:L141"/>
    <mergeCell ref="K142:L142"/>
    <mergeCell ref="K143:L143"/>
    <mergeCell ref="B16:E16"/>
    <mergeCell ref="B47:E47"/>
    <mergeCell ref="B49:E49"/>
    <mergeCell ref="B63:E63"/>
    <mergeCell ref="B65:E65"/>
    <mergeCell ref="B64:E64"/>
    <mergeCell ref="B51:E51"/>
  </mergeCells>
  <pageMargins left="0.7086614173228347" right="0.7086614173228347" top="0.7480314960629921" bottom="0.7480314960629921" header="0.3149606299212598" footer="0.3149606299212598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</dc:creator>
  <dcterms:created xmlns:dcterms="http://purl.org/dc/terms/" xmlns:xsi="http://www.w3.org/2001/XMLSchema-instance" xsi:type="dcterms:W3CDTF">2018-08-13T00:41:48Z</dcterms:created>
  <dcterms:modified xmlns:dcterms="http://purl.org/dc/terms/" xmlns:xsi="http://www.w3.org/2001/XMLSchema-instance" xsi:type="dcterms:W3CDTF">2026-08-14T14:24:40Z</dcterms:modified>
  <cp:lastModifiedBy>Marat Khadu</cp:lastModifiedBy>
  <cp:lastPrinted>2024-05-29T08:42:57Z</cp:lastPrinted>
</cp:coreProperties>
</file>