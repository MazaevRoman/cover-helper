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/Users/mahachadumagomedov/Downloads/"/>
    </mc:Choice>
  </mc:AlternateContent>
  <xr:revisionPtr revIDLastSave="0" documentId="13_ncr:1_{F9BEAA34-31E9-BB4B-8378-0A691EAAC74E}" xr6:coauthVersionLast="47" xr6:coauthVersionMax="47" xr10:uidLastSave="{00000000-0000-0000-0000-000000000000}"/>
  <bookViews>
    <workbookView xWindow="0" yWindow="500" windowWidth="33600" windowHeight="19200" activeTab="1" xr2:uid="{00000000-000D-0000-FFFF-FFFF00000000}"/>
  </bookViews>
  <sheets>
    <sheet name="Рекомендациии по заполнению" sheetId="2" r:id="rId1"/>
    <sheet name="Анкета" sheetId="1" r:id="rId2"/>
  </sheets>
  <definedNames>
    <definedName name="Z_58DA6C7F_C6B8_49ED_B93B_E4C5313499FE_.wvu.Cols" localSheetId="1" hidden="1">Анкета!#REF!</definedName>
    <definedName name="Z_58DA6C7F_C6B8_49ED_B93B_E4C5313499FE_.wvu.Cols" localSheetId="0" hidden="1">'Рекомендациии по заполнению'!$B:$XFD</definedName>
    <definedName name="Z_58DA6C7F_C6B8_49ED_B93B_E4C5313499FE_.wvu.Rows" localSheetId="1" hidden="1">Анкета!$146:$1048576</definedName>
    <definedName name="Z_58DA6C7F_C6B8_49ED_B93B_E4C5313499FE_.wvu.Rows" localSheetId="0" hidden="1">'Рекомендациии по заполнению'!$65:$1048576</definedName>
  </definedNames>
  <calcPr calcId="191029"/>
  <customWorkbookViews>
    <customWorkbookView name="Георгий Башилов - Личное представление" guid="{58DA6C7F-C6B8-49ED-B93B-E4C5313499FE}" mergeInterval="0" personalView="1" maximized="1" windowWidth="1827" windowHeight="809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5" i="1" l="1"/>
  <c r="L54" i="1"/>
  <c r="L117" i="1" l="1"/>
  <c r="L105" i="1"/>
  <c r="L94" i="1"/>
  <c r="L66" i="1"/>
  <c r="L67" i="1"/>
  <c r="L68" i="1"/>
  <c r="L69" i="1"/>
  <c r="L73" i="1"/>
  <c r="L74" i="1"/>
  <c r="L76" i="1"/>
  <c r="L77" i="1"/>
  <c r="L78" i="1"/>
  <c r="L79" i="1"/>
  <c r="L80" i="1"/>
  <c r="L81" i="1"/>
  <c r="L45" i="1"/>
  <c r="L47" i="1"/>
  <c r="L48" i="1"/>
  <c r="L49" i="1"/>
  <c r="L50" i="1"/>
  <c r="L51" i="1"/>
  <c r="L52" i="1"/>
  <c r="L53" i="1"/>
  <c r="L56" i="1"/>
  <c r="L57" i="1"/>
  <c r="L58" i="1"/>
  <c r="L33" i="1"/>
  <c r="L34" i="1"/>
  <c r="L35" i="1"/>
  <c r="G118" i="1" l="1"/>
  <c r="L118" i="1"/>
  <c r="S114" i="1" s="1"/>
  <c r="G36" i="1"/>
  <c r="H134" i="1"/>
  <c r="J59" i="1"/>
  <c r="Q55" i="1" s="1"/>
  <c r="I59" i="1"/>
  <c r="P55" i="1" s="1"/>
  <c r="I165" i="1"/>
  <c r="J165" i="1"/>
  <c r="K165" i="1"/>
  <c r="H165" i="1"/>
  <c r="H156" i="1"/>
  <c r="G128" i="1"/>
  <c r="G95" i="1"/>
  <c r="N90" i="1" s="1"/>
  <c r="I118" i="1"/>
  <c r="J118" i="1"/>
  <c r="I106" i="1"/>
  <c r="P100" i="1" s="1"/>
  <c r="J106" i="1"/>
  <c r="Q105" i="1" s="1"/>
  <c r="I95" i="1"/>
  <c r="P92" i="1" s="1"/>
  <c r="J95" i="1"/>
  <c r="Q87" i="1" s="1"/>
  <c r="I82" i="1"/>
  <c r="P68" i="1" s="1"/>
  <c r="J82" i="1"/>
  <c r="Q66" i="1" s="1"/>
  <c r="I36" i="1"/>
  <c r="J36" i="1"/>
  <c r="H106" i="1"/>
  <c r="O102" i="1" s="1"/>
  <c r="L106" i="1"/>
  <c r="S99" i="1" s="1"/>
  <c r="G106" i="1"/>
  <c r="N105" i="1" s="1"/>
  <c r="G82" i="1"/>
  <c r="H95" i="1"/>
  <c r="O90" i="1" s="1"/>
  <c r="L95" i="1"/>
  <c r="S94" i="1" s="1"/>
  <c r="Q54" i="1" l="1"/>
  <c r="P54" i="1"/>
  <c r="Q117" i="1"/>
  <c r="Q115" i="1"/>
  <c r="Q114" i="1"/>
  <c r="P113" i="1"/>
  <c r="P115" i="1"/>
  <c r="P114" i="1"/>
  <c r="N114" i="1"/>
  <c r="N115" i="1"/>
  <c r="S115" i="1"/>
  <c r="Q32" i="1"/>
  <c r="Q34" i="1"/>
  <c r="Q33" i="1"/>
  <c r="P32" i="1"/>
  <c r="P34" i="1"/>
  <c r="P33" i="1"/>
  <c r="N33" i="1"/>
  <c r="N34" i="1"/>
  <c r="N32" i="1"/>
  <c r="S92" i="1"/>
  <c r="S93" i="1"/>
  <c r="P42" i="1"/>
  <c r="P47" i="1"/>
  <c r="P45" i="1"/>
  <c r="P49" i="1"/>
  <c r="P51" i="1"/>
  <c r="P53" i="1"/>
  <c r="P44" i="1"/>
  <c r="P52" i="1"/>
  <c r="P48" i="1"/>
  <c r="P50" i="1"/>
  <c r="P46" i="1"/>
  <c r="P56" i="1"/>
  <c r="N20" i="1"/>
  <c r="N28" i="1"/>
  <c r="N31" i="1"/>
  <c r="N26" i="1"/>
  <c r="N29" i="1"/>
  <c r="N27" i="1"/>
  <c r="N30" i="1"/>
  <c r="P20" i="1"/>
  <c r="P28" i="1"/>
  <c r="P30" i="1"/>
  <c r="P27" i="1"/>
  <c r="P29" i="1"/>
  <c r="P26" i="1"/>
  <c r="P31" i="1"/>
  <c r="Q46" i="1"/>
  <c r="Q50" i="1"/>
  <c r="Q45" i="1"/>
  <c r="Q49" i="1"/>
  <c r="Q53" i="1"/>
  <c r="Q51" i="1"/>
  <c r="Q44" i="1"/>
  <c r="Q48" i="1"/>
  <c r="Q52" i="1"/>
  <c r="Q47" i="1"/>
  <c r="Q56" i="1"/>
  <c r="Q35" i="1"/>
  <c r="Q27" i="1"/>
  <c r="Q30" i="1"/>
  <c r="Q26" i="1"/>
  <c r="Q29" i="1"/>
  <c r="Q28" i="1"/>
  <c r="Q31" i="1"/>
  <c r="N93" i="1"/>
  <c r="N92" i="1"/>
  <c r="P93" i="1"/>
  <c r="O93" i="1"/>
  <c r="Q93" i="1"/>
  <c r="Q92" i="1"/>
  <c r="O92" i="1"/>
  <c r="L14" i="1"/>
  <c r="J14" i="1"/>
  <c r="I14" i="1"/>
  <c r="H14" i="1"/>
  <c r="Q42" i="1"/>
  <c r="J11" i="1"/>
  <c r="I11" i="1"/>
  <c r="K36" i="1"/>
  <c r="J12" i="1"/>
  <c r="J13" i="1"/>
  <c r="I13" i="1"/>
  <c r="I15" i="1"/>
  <c r="H15" i="1"/>
  <c r="L15" i="1"/>
  <c r="J15" i="1"/>
  <c r="K106" i="1"/>
  <c r="J16" i="1"/>
  <c r="I16" i="1"/>
  <c r="K118" i="1"/>
  <c r="K95" i="1"/>
  <c r="R93" i="1" s="1"/>
  <c r="K82" i="1"/>
  <c r="R70" i="1" s="1"/>
  <c r="P43" i="1"/>
  <c r="I12" i="1"/>
  <c r="P57" i="1"/>
  <c r="K59" i="1"/>
  <c r="R55" i="1" s="1"/>
  <c r="Q43" i="1"/>
  <c r="Q57" i="1"/>
  <c r="P86" i="1"/>
  <c r="Q80" i="1"/>
  <c r="P89" i="1"/>
  <c r="P87" i="1"/>
  <c r="Q79" i="1"/>
  <c r="P25" i="1"/>
  <c r="P91" i="1"/>
  <c r="P90" i="1"/>
  <c r="Q39" i="1"/>
  <c r="P111" i="1"/>
  <c r="Q21" i="1"/>
  <c r="P88" i="1"/>
  <c r="Q68" i="1"/>
  <c r="Q67" i="1"/>
  <c r="Q86" i="1"/>
  <c r="P112" i="1"/>
  <c r="Q116" i="1"/>
  <c r="Q104" i="1"/>
  <c r="P24" i="1"/>
  <c r="Q103" i="1"/>
  <c r="P41" i="1"/>
  <c r="Q75" i="1"/>
  <c r="Q74" i="1"/>
  <c r="Q102" i="1"/>
  <c r="Q110" i="1"/>
  <c r="Q112" i="1"/>
  <c r="Q77" i="1"/>
  <c r="P105" i="1"/>
  <c r="Q73" i="1"/>
  <c r="Q85" i="1"/>
  <c r="Q91" i="1"/>
  <c r="P110" i="1"/>
  <c r="Q111" i="1"/>
  <c r="Q41" i="1"/>
  <c r="Q62" i="1"/>
  <c r="Q72" i="1"/>
  <c r="P85" i="1"/>
  <c r="Q90" i="1"/>
  <c r="Q100" i="1"/>
  <c r="P117" i="1"/>
  <c r="P39" i="1"/>
  <c r="Q64" i="1"/>
  <c r="P40" i="1"/>
  <c r="Q101" i="1"/>
  <c r="Q40" i="1"/>
  <c r="P79" i="1"/>
  <c r="Q71" i="1"/>
  <c r="P94" i="1"/>
  <c r="Q89" i="1"/>
  <c r="P116" i="1"/>
  <c r="Q65" i="1"/>
  <c r="P58" i="1"/>
  <c r="Q76" i="1"/>
  <c r="Q63" i="1"/>
  <c r="Q94" i="1"/>
  <c r="Q113" i="1"/>
  <c r="Q58" i="1"/>
  <c r="P67" i="1"/>
  <c r="Q70" i="1"/>
  <c r="Q88" i="1"/>
  <c r="Q81" i="1"/>
  <c r="Q69" i="1"/>
  <c r="Q78" i="1"/>
  <c r="P102" i="1"/>
  <c r="P101" i="1"/>
  <c r="P104" i="1"/>
  <c r="Q99" i="1"/>
  <c r="P103" i="1"/>
  <c r="P99" i="1"/>
  <c r="P78" i="1"/>
  <c r="P66" i="1"/>
  <c r="P77" i="1"/>
  <c r="P65" i="1"/>
  <c r="P76" i="1"/>
  <c r="P64" i="1"/>
  <c r="P63" i="1"/>
  <c r="P75" i="1"/>
  <c r="P74" i="1"/>
  <c r="P73" i="1"/>
  <c r="P72" i="1"/>
  <c r="P71" i="1"/>
  <c r="P62" i="1"/>
  <c r="P70" i="1"/>
  <c r="P81" i="1"/>
  <c r="P69" i="1"/>
  <c r="P80" i="1"/>
  <c r="Q22" i="1"/>
  <c r="P22" i="1"/>
  <c r="P21" i="1"/>
  <c r="P35" i="1"/>
  <c r="Q25" i="1"/>
  <c r="Q23" i="1"/>
  <c r="P23" i="1"/>
  <c r="Q20" i="1"/>
  <c r="Q24" i="1"/>
  <c r="G14" i="1"/>
  <c r="G15" i="1"/>
  <c r="N99" i="1"/>
  <c r="O99" i="1"/>
  <c r="S104" i="1"/>
  <c r="N102" i="1"/>
  <c r="N100" i="1"/>
  <c r="O104" i="1"/>
  <c r="S101" i="1"/>
  <c r="N104" i="1"/>
  <c r="O101" i="1"/>
  <c r="S103" i="1"/>
  <c r="N101" i="1"/>
  <c r="O103" i="1"/>
  <c r="S100" i="1"/>
  <c r="S105" i="1"/>
  <c r="N103" i="1"/>
  <c r="O100" i="1"/>
  <c r="O105" i="1"/>
  <c r="S102" i="1"/>
  <c r="S87" i="1"/>
  <c r="S89" i="1"/>
  <c r="N85" i="1"/>
  <c r="O89" i="1"/>
  <c r="S88" i="1"/>
  <c r="N87" i="1"/>
  <c r="O94" i="1"/>
  <c r="S86" i="1"/>
  <c r="O86" i="1"/>
  <c r="N88" i="1"/>
  <c r="O88" i="1"/>
  <c r="S91" i="1"/>
  <c r="O91" i="1"/>
  <c r="S90" i="1"/>
  <c r="O87" i="1"/>
  <c r="N89" i="1"/>
  <c r="N86" i="1"/>
  <c r="N94" i="1"/>
  <c r="N91" i="1"/>
  <c r="R54" i="1" l="1"/>
  <c r="K16" i="1"/>
  <c r="R115" i="1"/>
  <c r="R114" i="1"/>
  <c r="R32" i="1"/>
  <c r="R33" i="1"/>
  <c r="R34" i="1"/>
  <c r="R43" i="1"/>
  <c r="R49" i="1"/>
  <c r="R51" i="1"/>
  <c r="R45" i="1"/>
  <c r="R47" i="1"/>
  <c r="R52" i="1"/>
  <c r="R46" i="1"/>
  <c r="R56" i="1"/>
  <c r="R48" i="1"/>
  <c r="R53" i="1"/>
  <c r="R44" i="1"/>
  <c r="R50" i="1"/>
  <c r="R27" i="1"/>
  <c r="R28" i="1"/>
  <c r="R26" i="1"/>
  <c r="R31" i="1"/>
  <c r="R29" i="1"/>
  <c r="R30" i="1"/>
  <c r="J17" i="1"/>
  <c r="R92" i="1"/>
  <c r="R90" i="1"/>
  <c r="R88" i="1"/>
  <c r="R86" i="1"/>
  <c r="I17" i="1"/>
  <c r="R25" i="1"/>
  <c r="R22" i="1"/>
  <c r="R23" i="1"/>
  <c r="K11" i="1"/>
  <c r="R24" i="1"/>
  <c r="R21" i="1"/>
  <c r="R35" i="1"/>
  <c r="R20" i="1"/>
  <c r="R62" i="1"/>
  <c r="R76" i="1"/>
  <c r="R75" i="1"/>
  <c r="R71" i="1"/>
  <c r="R65" i="1"/>
  <c r="R78" i="1"/>
  <c r="R66" i="1"/>
  <c r="K13" i="1"/>
  <c r="R80" i="1"/>
  <c r="R72" i="1"/>
  <c r="R64" i="1"/>
  <c r="R67" i="1"/>
  <c r="R68" i="1"/>
  <c r="R81" i="1"/>
  <c r="R73" i="1"/>
  <c r="R79" i="1"/>
  <c r="R63" i="1"/>
  <c r="R77" i="1"/>
  <c r="R69" i="1"/>
  <c r="R74" i="1"/>
  <c r="R102" i="1"/>
  <c r="R105" i="1"/>
  <c r="R101" i="1"/>
  <c r="R100" i="1"/>
  <c r="R99" i="1"/>
  <c r="R104" i="1"/>
  <c r="K15" i="1"/>
  <c r="R103" i="1"/>
  <c r="R110" i="1"/>
  <c r="R113" i="1"/>
  <c r="R112" i="1"/>
  <c r="R116" i="1"/>
  <c r="R117" i="1"/>
  <c r="R111" i="1"/>
  <c r="R89" i="1"/>
  <c r="R87" i="1"/>
  <c r="R85" i="1"/>
  <c r="K14" i="1"/>
  <c r="R91" i="1"/>
  <c r="R94" i="1"/>
  <c r="R58" i="1"/>
  <c r="R42" i="1"/>
  <c r="K12" i="1"/>
  <c r="R41" i="1"/>
  <c r="R39" i="1"/>
  <c r="R57" i="1"/>
  <c r="R40" i="1"/>
  <c r="Q106" i="1"/>
  <c r="P118" i="1"/>
  <c r="P95" i="1"/>
  <c r="Q118" i="1"/>
  <c r="Q59" i="1"/>
  <c r="P36" i="1"/>
  <c r="Q95" i="1"/>
  <c r="Q82" i="1"/>
  <c r="P59" i="1"/>
  <c r="P106" i="1"/>
  <c r="P82" i="1"/>
  <c r="Q36" i="1"/>
  <c r="L16" i="1"/>
  <c r="H118" i="1"/>
  <c r="G16" i="1"/>
  <c r="H16" i="1" l="1"/>
  <c r="O114" i="1"/>
  <c r="O115" i="1"/>
  <c r="P15" i="1"/>
  <c r="P12" i="1"/>
  <c r="P16" i="1"/>
  <c r="P13" i="1"/>
  <c r="P14" i="1"/>
  <c r="P11" i="1"/>
  <c r="Q11" i="1"/>
  <c r="Q15" i="1"/>
  <c r="Q16" i="1"/>
  <c r="Q14" i="1"/>
  <c r="Q12" i="1"/>
  <c r="Q13" i="1"/>
  <c r="R95" i="1"/>
  <c r="R36" i="1"/>
  <c r="R82" i="1"/>
  <c r="R106" i="1"/>
  <c r="R118" i="1"/>
  <c r="K17" i="1"/>
  <c r="R59" i="1"/>
  <c r="O111" i="1"/>
  <c r="O110" i="1"/>
  <c r="O113" i="1"/>
  <c r="O112" i="1"/>
  <c r="O116" i="1"/>
  <c r="O117" i="1"/>
  <c r="N111" i="1"/>
  <c r="N112" i="1"/>
  <c r="N116" i="1"/>
  <c r="N110" i="1"/>
  <c r="N113" i="1"/>
  <c r="N117" i="1"/>
  <c r="S111" i="1"/>
  <c r="S116" i="1"/>
  <c r="S117" i="1"/>
  <c r="S110" i="1"/>
  <c r="S112" i="1"/>
  <c r="S113" i="1"/>
  <c r="P17" i="1" l="1"/>
  <c r="Q17" i="1"/>
  <c r="R13" i="1"/>
  <c r="R15" i="1"/>
  <c r="R11" i="1"/>
  <c r="R16" i="1"/>
  <c r="R12" i="1"/>
  <c r="R14" i="1"/>
  <c r="N106" i="1"/>
  <c r="S106" i="1"/>
  <c r="O106" i="1"/>
  <c r="R17" i="1" l="1"/>
  <c r="S85" i="1"/>
  <c r="O85" i="1"/>
  <c r="N118" i="1" l="1"/>
  <c r="S118" i="1"/>
  <c r="O118" i="1"/>
  <c r="N70" i="1" l="1"/>
  <c r="N78" i="1"/>
  <c r="N69" i="1"/>
  <c r="N72" i="1"/>
  <c r="N80" i="1"/>
  <c r="N67" i="1"/>
  <c r="N75" i="1"/>
  <c r="N73" i="1"/>
  <c r="N81" i="1"/>
  <c r="N68" i="1"/>
  <c r="N76" i="1"/>
  <c r="N71" i="1"/>
  <c r="N79" i="1"/>
  <c r="N74" i="1"/>
  <c r="N77" i="1"/>
  <c r="N64" i="1"/>
  <c r="N65" i="1"/>
  <c r="N63" i="1"/>
  <c r="K218" i="1" l="1"/>
  <c r="K197" i="1"/>
  <c r="K175" i="1"/>
  <c r="K156" i="1"/>
  <c r="H59" i="1" l="1"/>
  <c r="O55" i="1" s="1"/>
  <c r="L59" i="1"/>
  <c r="S55" i="1" s="1"/>
  <c r="G59" i="1"/>
  <c r="N55" i="1" s="1"/>
  <c r="N54" i="1" l="1"/>
  <c r="S54" i="1"/>
  <c r="O54" i="1"/>
  <c r="S45" i="1"/>
  <c r="S53" i="1"/>
  <c r="S47" i="1"/>
  <c r="S51" i="1"/>
  <c r="S46" i="1"/>
  <c r="S56" i="1"/>
  <c r="S49" i="1"/>
  <c r="S50" i="1"/>
  <c r="S48" i="1"/>
  <c r="S44" i="1"/>
  <c r="S52" i="1"/>
  <c r="N51" i="1"/>
  <c r="N46" i="1"/>
  <c r="N49" i="1"/>
  <c r="N52" i="1"/>
  <c r="N50" i="1"/>
  <c r="N45" i="1"/>
  <c r="N53" i="1"/>
  <c r="N48" i="1"/>
  <c r="N56" i="1"/>
  <c r="N44" i="1"/>
  <c r="N47" i="1"/>
  <c r="O48" i="1"/>
  <c r="O51" i="1"/>
  <c r="O44" i="1"/>
  <c r="O50" i="1"/>
  <c r="O47" i="1"/>
  <c r="O45" i="1"/>
  <c r="O53" i="1"/>
  <c r="O46" i="1"/>
  <c r="O56" i="1"/>
  <c r="O49" i="1"/>
  <c r="O52" i="1"/>
  <c r="L12" i="1"/>
  <c r="S42" i="1"/>
  <c r="S57" i="1"/>
  <c r="S43" i="1"/>
  <c r="O39" i="1"/>
  <c r="H12" i="1"/>
  <c r="O57" i="1"/>
  <c r="O42" i="1"/>
  <c r="O43" i="1"/>
  <c r="N43" i="1"/>
  <c r="N57" i="1"/>
  <c r="N39" i="1"/>
  <c r="N42" i="1"/>
  <c r="O40" i="1"/>
  <c r="N40" i="1"/>
  <c r="N58" i="1"/>
  <c r="O41" i="1"/>
  <c r="S58" i="1"/>
  <c r="S40" i="1"/>
  <c r="S41" i="1"/>
  <c r="O58" i="1"/>
  <c r="S39" i="1"/>
  <c r="N41" i="1"/>
  <c r="L82" i="1"/>
  <c r="L13" i="1" s="1"/>
  <c r="H82" i="1"/>
  <c r="H13" i="1" s="1"/>
  <c r="O67" i="1" l="1"/>
  <c r="O75" i="1"/>
  <c r="O71" i="1"/>
  <c r="O74" i="1"/>
  <c r="O69" i="1"/>
  <c r="O77" i="1"/>
  <c r="O72" i="1"/>
  <c r="O80" i="1"/>
  <c r="O70" i="1"/>
  <c r="O78" i="1"/>
  <c r="O79" i="1"/>
  <c r="O73" i="1"/>
  <c r="O81" i="1"/>
  <c r="O68" i="1"/>
  <c r="O76" i="1"/>
  <c r="S72" i="1"/>
  <c r="S80" i="1"/>
  <c r="S76" i="1"/>
  <c r="S79" i="1"/>
  <c r="S74" i="1"/>
  <c r="S69" i="1"/>
  <c r="S77" i="1"/>
  <c r="S67" i="1"/>
  <c r="S75" i="1"/>
  <c r="S68" i="1"/>
  <c r="S70" i="1"/>
  <c r="S78" i="1"/>
  <c r="S73" i="1"/>
  <c r="S81" i="1"/>
  <c r="S71" i="1"/>
  <c r="S65" i="1"/>
  <c r="S64" i="1"/>
  <c r="S63" i="1"/>
  <c r="O65" i="1"/>
  <c r="O63" i="1"/>
  <c r="O64" i="1"/>
  <c r="S66" i="1"/>
  <c r="O66" i="1"/>
  <c r="N66" i="1"/>
  <c r="O62" i="1"/>
  <c r="S62" i="1"/>
  <c r="N62" i="1"/>
  <c r="N82" i="1" l="1"/>
  <c r="O82" i="1"/>
  <c r="S82" i="1"/>
  <c r="S95" i="1"/>
  <c r="N95" i="1"/>
  <c r="K145" i="1" l="1"/>
  <c r="J218" i="1"/>
  <c r="I218" i="1"/>
  <c r="H218" i="1"/>
  <c r="J175" i="1"/>
  <c r="I175" i="1"/>
  <c r="H175" i="1"/>
  <c r="J197" i="1"/>
  <c r="I197" i="1"/>
  <c r="H197" i="1"/>
  <c r="J156" i="1"/>
  <c r="I156" i="1"/>
  <c r="G134" i="1" l="1"/>
  <c r="G13" i="1"/>
  <c r="H36" i="1"/>
  <c r="L36" i="1"/>
  <c r="G11" i="1"/>
  <c r="O33" i="1" l="1"/>
  <c r="O32" i="1"/>
  <c r="O34" i="1"/>
  <c r="S32" i="1"/>
  <c r="S34" i="1"/>
  <c r="S33" i="1"/>
  <c r="L11" i="1"/>
  <c r="S31" i="1"/>
  <c r="S26" i="1"/>
  <c r="S28" i="1"/>
  <c r="S29" i="1"/>
  <c r="S30" i="1"/>
  <c r="S27" i="1"/>
  <c r="O27" i="1"/>
  <c r="O29" i="1"/>
  <c r="O31" i="1"/>
  <c r="O30" i="1"/>
  <c r="O28" i="1"/>
  <c r="O26" i="1"/>
  <c r="O20" i="1"/>
  <c r="H11" i="1"/>
  <c r="H17" i="1" s="1"/>
  <c r="N23" i="1"/>
  <c r="N24" i="1"/>
  <c r="N25" i="1"/>
  <c r="N35" i="1"/>
  <c r="N21" i="1"/>
  <c r="N22" i="1"/>
  <c r="S21" i="1"/>
  <c r="S25" i="1"/>
  <c r="S35" i="1"/>
  <c r="S22" i="1"/>
  <c r="S23" i="1"/>
  <c r="S20" i="1"/>
  <c r="S24" i="1"/>
  <c r="O23" i="1"/>
  <c r="O24" i="1"/>
  <c r="O21" i="1"/>
  <c r="O25" i="1"/>
  <c r="O35" i="1"/>
  <c r="O22" i="1"/>
  <c r="G12" i="1"/>
  <c r="G17" i="1" s="1"/>
  <c r="N16" i="1" l="1"/>
  <c r="L17" i="1"/>
  <c r="O36" i="1"/>
  <c r="O59" i="1"/>
  <c r="S59" i="1"/>
  <c r="S36" i="1"/>
  <c r="N59" i="1"/>
  <c r="N36" i="1"/>
  <c r="S14" i="1" l="1"/>
  <c r="S15" i="1"/>
  <c r="S16" i="1"/>
  <c r="S12" i="1"/>
  <c r="S13" i="1"/>
  <c r="S11" i="1"/>
  <c r="N14" i="1"/>
  <c r="N13" i="1"/>
  <c r="N15" i="1"/>
  <c r="O15" i="1"/>
  <c r="O14" i="1"/>
  <c r="O16" i="1"/>
  <c r="O13" i="1"/>
  <c r="O12" i="1"/>
  <c r="O95" i="1"/>
  <c r="N12" i="1"/>
  <c r="N11" i="1"/>
  <c r="N17" i="1" l="1"/>
  <c r="S17" i="1"/>
  <c r="O11" i="1"/>
  <c r="H128" i="1"/>
  <c r="O17" i="1" l="1"/>
</calcChain>
</file>

<file path=xl/sharedStrings.xml><?xml version="1.0" encoding="utf-8"?>
<sst xmlns="http://schemas.openxmlformats.org/spreadsheetml/2006/main" count="536" uniqueCount="276">
  <si>
    <t>Инструкция по заполнению</t>
  </si>
  <si>
    <t>Программы для телефонии</t>
  </si>
  <si>
    <t>Системы безопасности и управления доступом</t>
  </si>
  <si>
    <t>Системы аналитики</t>
  </si>
  <si>
    <t>Выручка от облачных услуг</t>
  </si>
  <si>
    <t>Таблица 1</t>
  </si>
  <si>
    <t>Таблица 2</t>
  </si>
  <si>
    <t>IaaS</t>
  </si>
  <si>
    <t>PaaS</t>
  </si>
  <si>
    <t>SaaS</t>
  </si>
  <si>
    <t>Управление частным облаком на серверах клиента</t>
  </si>
  <si>
    <t>Таблица 3</t>
  </si>
  <si>
    <t>Всего 100% от выручки IaaS</t>
  </si>
  <si>
    <t>Итого (в сумме должно быть 100%)</t>
  </si>
  <si>
    <t>Виртуальный хостинг сайтов (Web-хостинг)</t>
  </si>
  <si>
    <t>Всего 100% от выручки PaaS</t>
  </si>
  <si>
    <t>ФИО сотрудника, заполнившего анкету</t>
  </si>
  <si>
    <t>Должность</t>
  </si>
  <si>
    <t>Телефон, с кодом города</t>
  </si>
  <si>
    <t>E-mail сотрудника</t>
  </si>
  <si>
    <t>Сети доставки контента (CDN)</t>
  </si>
  <si>
    <t>DRaaS (Disaster Recovery)</t>
  </si>
  <si>
    <t>Бухгалтерский учет, системы отчетности, ЭДО</t>
  </si>
  <si>
    <t>Офисные программы, графич. ред. и т.п.</t>
  </si>
  <si>
    <t>Инфраструктура для облачных услуг</t>
  </si>
  <si>
    <t>Виды услуг, все значения в млн руб., без НДС</t>
  </si>
  <si>
    <t>прогноз</t>
  </si>
  <si>
    <t>Поставка ПО и оборудования для построения частного облака</t>
  </si>
  <si>
    <t>Консультационные услуги по построению частного облака</t>
  </si>
  <si>
    <t>Всего 100% от услуг SaaS</t>
  </si>
  <si>
    <t>Другие (укажите какие)</t>
  </si>
  <si>
    <t>Таблица 4</t>
  </si>
  <si>
    <t>Другое, укажите что</t>
  </si>
  <si>
    <t>Платформы для баз данных (DBaaS)</t>
  </si>
  <si>
    <t>Услуги по поддержке мультиоблака (MultiCloud)</t>
  </si>
  <si>
    <t>Бизнес-приложения для бухгалтерского учета и отчетности</t>
  </si>
  <si>
    <t>Программы для коммуникации клиентов</t>
  </si>
  <si>
    <t>Программы для контроля объема и качества интернет-трафика, анализ соц. сетей</t>
  </si>
  <si>
    <t>Укажите другие SaaS услуги, которые предоставляет ваша компания</t>
  </si>
  <si>
    <t xml:space="preserve">Необходимо заполнить поля белого цвета. </t>
  </si>
  <si>
    <t>Облачное видеонаблюдение</t>
  </si>
  <si>
    <t>Анализ сайтов, соц. сетей</t>
  </si>
  <si>
    <t xml:space="preserve">   KVM</t>
  </si>
  <si>
    <t xml:space="preserve">   Hyper-V</t>
  </si>
  <si>
    <t xml:space="preserve">   VMware</t>
  </si>
  <si>
    <t>Количество арендованных стоек в коммерческих ЦОДах</t>
  </si>
  <si>
    <t>Количество стоек в собственных ЦОДах</t>
  </si>
  <si>
    <t>Продукты</t>
  </si>
  <si>
    <t>VDI (вкл. Managed Workspaces)</t>
  </si>
  <si>
    <t>Облачный диск</t>
  </si>
  <si>
    <t>Количество клиентов на конец периода</t>
  </si>
  <si>
    <t>Сегменты IaaS, млн руб.</t>
  </si>
  <si>
    <t>Сегменты РaaS, млн руб.</t>
  </si>
  <si>
    <t>Сегменты SaaS, млн руб.</t>
  </si>
  <si>
    <t>Прочие услуги</t>
  </si>
  <si>
    <t>Аренда серверов с GPU (графическими ускорителями)</t>
  </si>
  <si>
    <t>Доля от облачных услуг</t>
  </si>
  <si>
    <t>Количество серверов и стоек, используемых для облачных услуг. шт., на конец периода</t>
  </si>
  <si>
    <t xml:space="preserve">Communication PaaS (CPaaS), API Gateway </t>
  </si>
  <si>
    <t>Таблица 5</t>
  </si>
  <si>
    <t>Таблица 6</t>
  </si>
  <si>
    <t>Таблица 7</t>
  </si>
  <si>
    <t xml:space="preserve">iKS-Consulting анализирует облачные услуги для сегментов B2B , B2G и B2C. </t>
  </si>
  <si>
    <r>
      <rPr>
        <b/>
        <sz val="12"/>
        <color indexed="8"/>
        <rFont val="Arial Narrow"/>
        <family val="2"/>
        <charset val="204"/>
      </rPr>
      <t>К IaaS относятся услуги</t>
    </r>
    <r>
      <rPr>
        <sz val="12"/>
        <color indexed="8"/>
        <rFont val="Arial Narrow"/>
        <family val="2"/>
        <charset val="204"/>
      </rPr>
      <t xml:space="preserve"> предоставления инфраструктуры (дискового пространства, вычислительных мощностей) в частном или публичном облаке. Категории ПО, которые относятся к IaaS:</t>
    </r>
  </si>
  <si>
    <r>
      <t xml:space="preserve">К </t>
    </r>
    <r>
      <rPr>
        <b/>
        <sz val="12"/>
        <color indexed="8"/>
        <rFont val="Arial Narrow"/>
        <family val="2"/>
        <charset val="204"/>
      </rPr>
      <t>SaaS</t>
    </r>
    <r>
      <rPr>
        <sz val="12"/>
        <color indexed="8"/>
        <rFont val="Arial Narrow"/>
        <family val="2"/>
        <charset val="204"/>
      </rPr>
      <t xml:space="preserve"> iKS-Consulting относит  услуги по предоставлению доступа к программному обеспечению через Интернет на условиях аренды. Категории ПО, которые определяют подсегменты рынка SaaS:</t>
    </r>
  </si>
  <si>
    <r>
      <rPr>
        <b/>
        <sz val="12"/>
        <color theme="1"/>
        <rFont val="Arial Narrow"/>
        <family val="2"/>
        <charset val="204"/>
      </rPr>
      <t>PaaS</t>
    </r>
    <r>
      <rPr>
        <sz val="12"/>
        <color theme="1"/>
        <rFont val="Arial Narrow"/>
        <family val="2"/>
        <charset val="204"/>
      </rPr>
      <t xml:space="preserve"> - «платформа как услуга» — модель предоставления облачных вычислений, при которой потребитель получает доступ к использованию информационно-технологических платформ: операционных систем, систем управления базами данных, связующему программному обеспечению, средствам разработки и тестирования, размещённым у облачного провайдера. </t>
    </r>
  </si>
  <si>
    <t>IaaS, %</t>
  </si>
  <si>
    <t>PaaS, %</t>
  </si>
  <si>
    <t>SaaS, %</t>
  </si>
  <si>
    <t>Итого ( в сумме должно быть 100%)</t>
  </si>
  <si>
    <t>Таблица 8</t>
  </si>
  <si>
    <t>Таблица 9</t>
  </si>
  <si>
    <t xml:space="preserve">Бюджетные организации и госструктуры </t>
  </si>
  <si>
    <t>Разработчики ПО и ИТ оборудования</t>
  </si>
  <si>
    <t>Облачные провайдеры</t>
  </si>
  <si>
    <t>Операторы связи</t>
  </si>
  <si>
    <t>Медицина и фармацевтика</t>
  </si>
  <si>
    <t>Оптовая и розничная торговля</t>
  </si>
  <si>
    <t>Транспорт  и логистика</t>
  </si>
  <si>
    <t xml:space="preserve">Прочие </t>
  </si>
  <si>
    <t>Таблица 10</t>
  </si>
  <si>
    <t>До 20 тысяч рублей/месяц</t>
  </si>
  <si>
    <t>От 20 до 50 тыс. рублей/месяц</t>
  </si>
  <si>
    <t>От 50 до 100 тыс. рублей/месяц</t>
  </si>
  <si>
    <t>От 100 до 200 тыс. рублей/месяц</t>
  </si>
  <si>
    <t>От 200 до 500 тыс. рублей/месяц</t>
  </si>
  <si>
    <t>От 500 тыс. до 1 млн рублей/месяц</t>
  </si>
  <si>
    <t>Более 1 млн рублей/месяц</t>
  </si>
  <si>
    <t>Таблица 11</t>
  </si>
  <si>
    <t>Таблица 12</t>
  </si>
  <si>
    <t>Таблица 13</t>
  </si>
  <si>
    <t>Москва и Московская обл. (МО)</t>
  </si>
  <si>
    <t>Санкт-Петербург и Ленинградская обл. (ЛО)</t>
  </si>
  <si>
    <t>Центральный ФО (без МО)</t>
  </si>
  <si>
    <t>Северо-Западный ФО (без ЛО)</t>
  </si>
  <si>
    <t>Приволжский ФО</t>
  </si>
  <si>
    <t>Южный ФО</t>
  </si>
  <si>
    <t>Северо-Кавказский ФО</t>
  </si>
  <si>
    <t>Уральский ФО</t>
  </si>
  <si>
    <t>Сибирский ФО</t>
  </si>
  <si>
    <t>Дальневосточный ФО</t>
  </si>
  <si>
    <t>Иностранные 
заказчики</t>
  </si>
  <si>
    <t xml:space="preserve">США, Канада </t>
  </si>
  <si>
    <t>Европа</t>
  </si>
  <si>
    <t>Китай</t>
  </si>
  <si>
    <t>другие страны</t>
  </si>
  <si>
    <t>Доля выручки от компаний внутри экосистемы</t>
  </si>
  <si>
    <t>Комментарии, примечания</t>
  </si>
  <si>
    <t xml:space="preserve">SOHO, включая частных пользователей и ИП </t>
  </si>
  <si>
    <t>СМП (средние и малые предприятия)</t>
  </si>
  <si>
    <t>Госорганизации (госуправление, бюджетные)</t>
  </si>
  <si>
    <t>Иностранные компании, представительства</t>
  </si>
  <si>
    <t>ЦОДы, которые используются для предоставления облачных услуг (собственные и коммерческие)</t>
  </si>
  <si>
    <t>Количество серверов и СХД, используемых для облаков</t>
  </si>
  <si>
    <t>Затраты на персонал</t>
  </si>
  <si>
    <t xml:space="preserve">Затраты на поддержание собственной ИТ-инфраструктуры </t>
  </si>
  <si>
    <t>Инвестиции в развитие собственной инфраструктуры (в т.ч. закупка серверов и СХД)</t>
  </si>
  <si>
    <t xml:space="preserve">Затраты на аренду ИТ-инфраструктуры (включая арендуемые облачные услуги, colocation и проч.) </t>
  </si>
  <si>
    <t>Доля от затрат, %</t>
  </si>
  <si>
    <t>Прочие затраты, что именно</t>
  </si>
  <si>
    <t>ВСЕГО (должно быть 100%)</t>
  </si>
  <si>
    <t>Выделение IP</t>
  </si>
  <si>
    <t>Прочие сетевые услуги</t>
  </si>
  <si>
    <t>Услуги по миграции в облако провайдера</t>
  </si>
  <si>
    <t>Таблица 14</t>
  </si>
  <si>
    <t>Таблица 15</t>
  </si>
  <si>
    <t xml:space="preserve">Частные виртуальные серверы (VPS/VDS) </t>
  </si>
  <si>
    <t>Лицензии на серверы и ОС / SPLA</t>
  </si>
  <si>
    <t>Облако 152-ФЗ как отдельная услуга</t>
  </si>
  <si>
    <t>Доступ у услугам PaaS зарубежных гиперскейлеров</t>
  </si>
  <si>
    <t>Управление персоналом, подбор персонала</t>
  </si>
  <si>
    <t>Облачное видеонаблюдение (без дохода от оборудования)</t>
  </si>
  <si>
    <t>Продажа лицензий на ПО (не облачное)</t>
  </si>
  <si>
    <t>Всего 100% от выручки "Прочие"</t>
  </si>
  <si>
    <t xml:space="preserve">Доля систем виртуализации IaaS на конец периода в персчете на ядра 1 ГГц, % от общего количества ядер </t>
  </si>
  <si>
    <t>Виртуальный ЦОД  (Public cloud)</t>
  </si>
  <si>
    <t xml:space="preserve">Крупные российские предприятия </t>
  </si>
  <si>
    <t>итог</t>
  </si>
  <si>
    <t>Продажа услуг IaaS российских облачных провайдеров</t>
  </si>
  <si>
    <r>
      <t xml:space="preserve">Мы проводим различие между операционными облачными сервисами, предоставляемыми операторами / поставщиками услуг и проектами для реализации облака (консалтинг, обучение, установка и т.д.). 
При заполнении анкеты просим Вас разбить сумму получаемого Вами дохода от облачных услуг по следующим разделам:
▪ </t>
    </r>
    <r>
      <rPr>
        <b/>
        <sz val="12"/>
        <color indexed="8"/>
        <rFont val="Arial Narrow"/>
        <family val="2"/>
        <charset val="204"/>
      </rPr>
      <t>IaaS</t>
    </r>
    <r>
      <rPr>
        <sz val="12"/>
        <color indexed="8"/>
        <rFont val="Arial Narrow"/>
        <family val="2"/>
        <charset val="204"/>
      </rPr>
      <t xml:space="preserve"> - предоставление услуг виртуальной  инфраструктуры как в публичном облаке, так и в частных облаках на оборудовании провайдера. Таким образом, мы относим к IaaS услуги предоставления виртуальных дата-центров (VDC) в публичных облаках, выделенные и виртуальные частные облака, за исключением услуг по построению частного облака на оборудовании клиента в его или в арендованном ЦОДе. Также к IaaS мы относим услуги по бэкапу, резервированию и восстановлению данных, услуги bare metal (при условии автоматического предоставления услуги через панель управления в личном кабинете и тарификации с периодом сутки или менее).
▪ </t>
    </r>
    <r>
      <rPr>
        <b/>
        <sz val="12"/>
        <color indexed="8"/>
        <rFont val="Arial Narrow"/>
        <family val="2"/>
        <charset val="204"/>
      </rPr>
      <t>PaaS</t>
    </r>
    <r>
      <rPr>
        <sz val="12"/>
        <color indexed="8"/>
        <rFont val="Arial Narrow"/>
        <family val="2"/>
        <charset val="204"/>
      </rPr>
      <t xml:space="preserve"> - предоставление различного вида облачных платформ для разрабочиков, для размещения поставщиков облачных услуг, для развертывания контейнеров и т.д. 
▪ </t>
    </r>
    <r>
      <rPr>
        <b/>
        <sz val="12"/>
        <color indexed="8"/>
        <rFont val="Arial Narrow"/>
        <family val="2"/>
        <charset val="204"/>
      </rPr>
      <t>SaaS</t>
    </r>
    <r>
      <rPr>
        <sz val="12"/>
        <color indexed="8"/>
        <rFont val="Arial Narrow"/>
        <family val="2"/>
        <charset val="204"/>
      </rPr>
      <t xml:space="preserve"> - предоставление собственного ПО в качестве облачной услуги или продажа услуг партнеров по SaaS через маркетплейс (облачную витрину).</t>
    </r>
  </si>
  <si>
    <r>
      <t xml:space="preserve">▪ </t>
    </r>
    <r>
      <rPr>
        <b/>
        <sz val="12"/>
        <color indexed="8"/>
        <rFont val="Arial Narrow"/>
        <family val="2"/>
        <charset val="204"/>
      </rPr>
      <t>Управление частным облаком на серверах клиента</t>
    </r>
    <r>
      <rPr>
        <sz val="12"/>
        <color indexed="8"/>
        <rFont val="Arial Narrow"/>
        <family val="2"/>
        <charset val="204"/>
      </rPr>
      <t xml:space="preserve"> - услуга по поддержке и управлению облаком, которое расположено на оборудовании клиента и размещено в ЦОДе клиента или на арендованных стойках в коммерческом дата-центре. Мы выделяем такие услуги по управлению облачной инфраструктурой из сегмента IaaS и рассматриваем этот сегмент отдельно.  
▪ Поставка клиенту </t>
    </r>
    <r>
      <rPr>
        <b/>
        <sz val="12"/>
        <color indexed="8"/>
        <rFont val="Arial Narrow"/>
        <family val="2"/>
        <charset val="204"/>
      </rPr>
      <t>аппаратного обеспечения</t>
    </r>
    <r>
      <rPr>
        <sz val="12"/>
        <color indexed="8"/>
        <rFont val="Arial Narrow"/>
        <family val="2"/>
        <charset val="204"/>
      </rPr>
      <t xml:space="preserve"> для построения частного облака - интеграторские услуги по поставке оборудования (в частности конвергированных и гиперконвергированных решений) для построения клиентом частного облака. 
▪ Поставка клиенту </t>
    </r>
    <r>
      <rPr>
        <b/>
        <sz val="12"/>
        <color indexed="8"/>
        <rFont val="Arial Narrow"/>
        <family val="2"/>
        <charset val="204"/>
      </rPr>
      <t>програмного обеспечения</t>
    </r>
    <r>
      <rPr>
        <sz val="12"/>
        <color indexed="8"/>
        <rFont val="Arial Narrow"/>
        <family val="2"/>
        <charset val="204"/>
      </rPr>
      <t xml:space="preserve"> для построения частного облака
▪ </t>
    </r>
    <r>
      <rPr>
        <b/>
        <sz val="12"/>
        <color indexed="8"/>
        <rFont val="Arial Narrow"/>
        <family val="2"/>
        <charset val="204"/>
      </rPr>
      <t>Консультационные услуги</t>
    </r>
    <r>
      <rPr>
        <sz val="12"/>
        <color indexed="8"/>
        <rFont val="Arial Narrow"/>
        <family val="2"/>
        <charset val="204"/>
      </rPr>
      <t xml:space="preserve"> по построению частных облаков
▪ Услуги по созданию и поддержке </t>
    </r>
    <r>
      <rPr>
        <b/>
        <sz val="12"/>
        <color indexed="8"/>
        <rFont val="Arial Narrow"/>
        <family val="2"/>
        <charset val="204"/>
      </rPr>
      <t>мультиоблака
Услуги информационной безопасности, включая SOC, AntiDDos</t>
    </r>
  </si>
  <si>
    <t>Объектное хранилище S3</t>
  </si>
  <si>
    <t>Управление контейнерами (включая Kubernetes)</t>
  </si>
  <si>
    <t>Видеоконференции, вебинары, системы обучения</t>
  </si>
  <si>
    <t>Виртуальные АТС, call-центры (ВАТС с трафиком, без оборудования)</t>
  </si>
  <si>
    <t>CRM</t>
  </si>
  <si>
    <t>ERP, SCM, SRM, WMS, отдельные элементы</t>
  </si>
  <si>
    <t>Инфо-без, %</t>
  </si>
  <si>
    <t>Тамож. союз (Армения, Беларусь, Казахстан, Кыргызстан)</t>
  </si>
  <si>
    <t>Платформы для аналитики данных (BI)</t>
  </si>
  <si>
    <t>Платформы для расчетов на суперкомпьютере</t>
  </si>
  <si>
    <t>MLOps (платформы для разработки моделей машинного обучения)</t>
  </si>
  <si>
    <t>Синтез и распознавание речи (включая ASR/TTS, NLP, перевод, речевая аналитика)</t>
  </si>
  <si>
    <t>Распознавание изображений, видео и документов</t>
  </si>
  <si>
    <t>Доступ к платформам генеративного ИИ</t>
  </si>
  <si>
    <t xml:space="preserve">Облачный гейминг </t>
  </si>
  <si>
    <t>Почта</t>
  </si>
  <si>
    <t>Конструкторы сайтов, CMS</t>
  </si>
  <si>
    <t>Чаты</t>
  </si>
  <si>
    <t>IoT платформы, в том числе платформы умного дома</t>
  </si>
  <si>
    <t>Платформы для разработчиков, микросервисы</t>
  </si>
  <si>
    <t xml:space="preserve">Корпоративная мобильность </t>
  </si>
  <si>
    <t>Антивирусы облачные и системы безопасности</t>
  </si>
  <si>
    <t>Системы проведения опросов</t>
  </si>
  <si>
    <t>ГОСТ-VPN</t>
  </si>
  <si>
    <t>SD-WAN</t>
  </si>
  <si>
    <t>Защита веб-приложений (WAF)</t>
  </si>
  <si>
    <t>Сетевая безопасность (включая NGFW/UTM, сетевое детектирование и реагирование, предотвращение вторжений)</t>
  </si>
  <si>
    <t>Защита конечных точек</t>
  </si>
  <si>
    <t>SIEM, Threat Intelligence</t>
  </si>
  <si>
    <t>Системы управления доступом (ауетентификация, IDP, PAM, PKI)</t>
  </si>
  <si>
    <t>Защита от DDoS атак</t>
  </si>
  <si>
    <t>Услуги ИБ (SOC, MSSP, антибот, фишинг и обучение)</t>
  </si>
  <si>
    <t>ИИ-поиск (Search &amp; Knowledge Discovery)</t>
  </si>
  <si>
    <t>Российские госкорпорации</t>
  </si>
  <si>
    <t>Микропредприятие (до 15 сотрудников, выручка до 120 млн руб.)</t>
  </si>
  <si>
    <t>Малые предприятия (16-100 сотрудников, до 800 млн руб. выручка)</t>
  </si>
  <si>
    <t>Средние предприятия 101-250 сотрудников, до 2 млрд руб. выручки)</t>
  </si>
  <si>
    <t>Крупные предприятия (501-1000 сотрудников, до 100 млрд руб. выручки)</t>
  </si>
  <si>
    <t>Корпорации (более 1000 сотрудников, более 100 млрд руб. выручки)</t>
  </si>
  <si>
    <t>Юго-восточная Азия</t>
  </si>
  <si>
    <t>Ближний Восток</t>
  </si>
  <si>
    <t>Африка</t>
  </si>
  <si>
    <t xml:space="preserve">Process Management </t>
  </si>
  <si>
    <t xml:space="preserve">Process Mining </t>
  </si>
  <si>
    <t>Безопасность, защита инфраструктуры</t>
  </si>
  <si>
    <t>Cloud SDN</t>
  </si>
  <si>
    <t>VPN каналы</t>
  </si>
  <si>
    <t>Сетевые услуги</t>
  </si>
  <si>
    <t>Всего 100% от выручки от услуг по защите инфраструктуры</t>
  </si>
  <si>
    <t>Всего 100% от сетевых услуг</t>
  </si>
  <si>
    <t>Безопасность и защита инфраструктуры</t>
  </si>
  <si>
    <r>
      <t>ВСЕГО от услуг в млн руб.</t>
    </r>
    <r>
      <rPr>
        <sz val="9"/>
        <color rgb="FFFF0000"/>
        <rFont val="Arial Narrow"/>
        <family val="2"/>
        <charset val="204"/>
      </rPr>
      <t xml:space="preserve"> без НДС</t>
    </r>
  </si>
  <si>
    <t>Таблица 16</t>
  </si>
  <si>
    <t>Таблица 17</t>
  </si>
  <si>
    <t xml:space="preserve">По умолчанию действует следующий порядок использования и раскрытия информации:
В отчете в привязке к отдельным компаниям будут обрабатываться и использоваться следующие показатели: Таблица 1 "Виды услуг, все значения", Таблица 2 -"Сегменты IaaS", Таблица 3 -"Сегменты PaaS", Таблица 4 -"Сегменты SaaS", Таблицы 5-7 -"Безопасность, сетевые и прочие услуги". 
Данные из таблиц 8-17  используются для расчетов объемов инфраструктуры в целом по рынку и нигде не публиуются по отдельным компаниям.  
</t>
  </si>
  <si>
    <t>Строительство и ЖКХ</t>
  </si>
  <si>
    <t>Недвижимость</t>
  </si>
  <si>
    <t>Агпро-промышленный комплекс</t>
  </si>
  <si>
    <t>Гостинично-ресторанный бизнес</t>
  </si>
  <si>
    <t>Средне-крупные предприятия (251-500 сотрудников, до 15 млрд руб. выручки)</t>
  </si>
  <si>
    <t xml:space="preserve">Таблица 17 - под экосистемой понимаем совокупность дочерних, родительских, сестринских компаний, связанных имущественными правами или имеющих единые органы управления или тесное сотрудничество по основным видам деятельности. Решение о выборе поставщиков услуг внутри экосистемы не является полностью независимым. </t>
  </si>
  <si>
    <t>Офисные приложения:</t>
  </si>
  <si>
    <t>Communication PaaS (CPaaS), API Gateway</t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</si>
  <si>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Пакеты программ, предназначенные для редактирования документов, создания, редактирования и расчета электронных таблиц, подготовки презентаций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</si>
  <si>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Программы для создания и редактирования графических изображений, подготовки графических рекламных материалов, верстки печатных и электронных изданий и т.д.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</si>
  <si>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Электронные переводчики, системы распознавания изображений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</si>
  <si>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Программы для контроля объема и качества интернет-трафика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</si>
  <si>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Облачные CRM-системы, отдельные элементы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</si>
  <si>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Системы управления предприятием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</si>
  <si>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Облачные  ERP-системы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</si>
  <si>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Облачные  SCM-системы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</si>
  <si>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Программы бухгалтерского учета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</si>
  <si>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Облачные приложения для подготовки отчетности в налоговые и статистические органы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</si>
  <si>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Средства коммуникации и управления веб-сайтами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</si>
  <si>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Почтовые системы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</si>
  <si>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Конструкторы сайтов, CMS -системы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</si>
  <si>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Программы для ведения чатов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</si>
  <si>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Облачные программы для проведения видеоконференцсвязи (ВКС)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</si>
  <si>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Программы для проведения вебинаров, системы обучения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</si>
  <si>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Виртуальные АТС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</si>
  <si>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Виртуальные контакт-центры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</si>
  <si>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Антивирусы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</si>
  <si>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Системы учета пользователей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</si>
  <si>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Системы бизнес-аналитики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</si>
  <si>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Системы для проведения опросов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</si>
  <si>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Виртуальные ЦОДы в публичном облаке (Public Cloud)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</si>
  <si>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VPS/VDS - частные виртуальные серверы (Virtual Private Server / Virtual Dedicated Server)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</si>
  <si>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Услуги bare metal – удаленный доступ к физическим серверам без виртуализации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</si>
  <si>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BaaS (BackUp), DRaaS (Disaster Recovery as a Service) - услуги выполнения backup и восстановления данных из систем хранения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</si>
  <si>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STaaS (Storage-as-a-Service) - услуга объектного хранения данных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</si>
  <si>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VDI (Virtual Desktop Infrastructure) - разворачивание рабочих мест на базе удаленного сервера</t>
    </r>
  </si>
  <si>
    <t>Банки, финансовые услуги, страхование</t>
  </si>
  <si>
    <t>Образование, инжиниринг, наука</t>
  </si>
  <si>
    <t>Медиа, реклама</t>
  </si>
  <si>
    <t>Легкая промышленность</t>
  </si>
  <si>
    <t>Электроэнергетика</t>
  </si>
  <si>
    <t>Тяжелая промышленнность, кроме добычи</t>
  </si>
  <si>
    <t>Нефте-газ, добыча полезных ископаемых</t>
  </si>
  <si>
    <t>Российские (укажите какие)</t>
  </si>
  <si>
    <t>Доступ у услугам PaaS российских провайдеров</t>
  </si>
  <si>
    <t>Платформы для комплексной работы с Big Data</t>
  </si>
  <si>
    <t>Частное облако на инфраструктуре провайдера (Private cloud)</t>
  </si>
  <si>
    <t>Резервное хранение (Backup as a Service)</t>
  </si>
  <si>
    <t xml:space="preserve">Юридическое название компании   </t>
  </si>
  <si>
    <t xml:space="preserve">Бренд, под которым предоставляются услуги   </t>
  </si>
  <si>
    <t>Продажа услуг IaaS зарубежных гиперскейлеров</t>
  </si>
  <si>
    <t>Доступ в интернет</t>
  </si>
  <si>
    <t>КИИ облако - как отдельная услуга</t>
  </si>
  <si>
    <t xml:space="preserve">Если вы не хотите публично раскрывать данные, представленные в Таблицах 1-7 (или какие-либо иные данные), пожалуйста, сопровождайте их буквой  "к" (конфиденциально). В этом случае компания не будет участвовать в рейтинге. 
Если часть данных, запрашиваемых в анкете, вы готовы предоставить только на условиях заверенной конфиденциальности, то, пожалуйста, свяжитесь с нами для заключения соответствующего NDA. </t>
  </si>
  <si>
    <t>В таблицах полученная выручка указывается за 2024, за первый квартал 2025 года, а также прогноз на весь 2025 год. В таблицах в правой колонке указывается количество клиентов на конец периода (2024 год, на конец первого квартала 2025 года и прогнозное значение на конец 2025 года).</t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</si>
  <si>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Виртуальные ЦОДы в частном облаке, построенном на инфраструктуре облачного провайдера (Private Cloud)</t>
    </r>
  </si>
  <si>
    <r>
      <t>·</t>
    </r>
    <r>
      <rPr>
        <sz val="7"/>
        <color theme="1"/>
        <rFont val="Calibri"/>
        <family val="2"/>
        <charset val="204"/>
        <scheme val="minor"/>
      </rPr>
      <t xml:space="preserve">         </t>
    </r>
    <r>
      <rPr>
        <sz val="11"/>
        <color theme="1"/>
        <rFont val="Calibri"/>
        <family val="2"/>
        <charset val="204"/>
        <scheme val="minor"/>
      </rPr>
      <t>Предоставление облачной структуры, удовлетворяющей требованиям по защите персональных данных по закону 152-ФЗ</t>
    </r>
  </si>
  <si>
    <t xml:space="preserve">Поля "итого" рассчитываются автоматически для контроля. Данные в таблице 1 рассчитываются автоматически по мере заполнения таблиц 2-5. Доли дохода от услуг также рассчитываются автоматически. Если Вы затрудняетесь с указанием точной выручки от каждого подсегмента,  заполните, пожалуйста, общий объем выручки в каждом сегменте IaaS, PaaS, SaaS, Сетевые и Прочие услуги и расставьте примерные доли каждого сегмента в процентах в колонке серого цвета. Тогда автоматический режим расчета работать не будет, но мы учтем эти данные в разбивке по подсегментам. 
</t>
  </si>
  <si>
    <r>
      <rPr>
        <b/>
        <i/>
        <sz val="12"/>
        <color theme="1"/>
        <rFont val="Arial Narrow"/>
        <family val="2"/>
        <charset val="204"/>
      </rPr>
      <t>Раскрытие информации.</t>
    </r>
    <r>
      <rPr>
        <i/>
        <sz val="12"/>
        <color theme="1"/>
        <rFont val="Arial Narrow"/>
        <family val="2"/>
        <charset val="204"/>
      </rPr>
      <t xml:space="preserve">
Запрашиваемые данные будут использованы при подготовке трекера квартальной выручки «Облачный провайдинг 2025. Ежеквартальный мониторинг». 
</t>
    </r>
  </si>
  <si>
    <t>Пользователи облачных услуг в 2025 по итогам года</t>
  </si>
  <si>
    <t>Структура выручки в 2025 году по типу компании, % выручки</t>
  </si>
  <si>
    <t>Структура выручки по размеру среднемесячного платежа в 2025 году, % от выручки</t>
  </si>
  <si>
    <t>Структура выручки в 2025 году по размеру компании, % выручки</t>
  </si>
  <si>
    <t xml:space="preserve">Пользователи облаков в 2025 году, % от выручки </t>
  </si>
  <si>
    <t xml:space="preserve">Структура выручки  в 2025 г. по географии заказов, % </t>
  </si>
  <si>
    <t>на конец 2025 года</t>
  </si>
  <si>
    <t>1q 2026</t>
  </si>
  <si>
    <t>2q 2026</t>
  </si>
  <si>
    <t>3q 2026</t>
  </si>
  <si>
    <t>4q 2026</t>
  </si>
  <si>
    <t xml:space="preserve">Примерная структура затрат на предоставление облачных услуг (по итогам  2025 года) </t>
  </si>
  <si>
    <t xml:space="preserve">Итого стоек (строки 128 + 129) </t>
  </si>
  <si>
    <t>Серверы Bare Metal без GPU</t>
  </si>
  <si>
    <t>Серверы Bare Metal c GPU</t>
  </si>
  <si>
    <t>Managed services</t>
  </si>
  <si>
    <t>Cloud DNS</t>
  </si>
  <si>
    <t>Low-code/No-code платформы</t>
  </si>
  <si>
    <t>Анкета iKS-Consulting, 2026</t>
  </si>
  <si>
    <r>
      <t xml:space="preserve">Исследование рынка облачных услуг - 2-й квартал 2026 года и итоги 2025 года
</t>
    </r>
    <r>
      <rPr>
        <b/>
        <sz val="8"/>
        <color theme="0"/>
        <rFont val="Arial Narrow"/>
        <family val="2"/>
        <charset val="204"/>
      </rPr>
      <t>*если компания ранее заполняла данные по 2025 году, и изменений в данных нет, то эти данные можно не повторять</t>
    </r>
  </si>
  <si>
    <t xml:space="preserve">Управление контейнерами (включая Kubernetes)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</si>
</sst>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.0%"/>
  </numFmts>
  <fonts count="37" x14ac:knownFonts="1"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26"/>
      <color theme="0"/>
      <name val="Arial Narrow"/>
      <family val="2"/>
      <charset val="204"/>
    </font>
    <font>
      <sz val="8"/>
      <name val="Arial"/>
      <family val="2"/>
    </font>
    <font>
      <b/>
      <sz val="14"/>
      <color theme="0"/>
      <name val="Arial Narrow"/>
      <family val="2"/>
      <charset val="204"/>
    </font>
    <font>
      <sz val="9"/>
      <name val="Arial Narrow"/>
      <family val="2"/>
      <charset val="204"/>
    </font>
    <font>
      <sz val="9"/>
      <color theme="3"/>
      <name val="Arial Narrow"/>
      <family val="2"/>
      <charset val="204"/>
    </font>
    <font>
      <sz val="10"/>
      <name val="Times New Roman"/>
      <family val="1"/>
    </font>
    <font>
      <b/>
      <sz val="9"/>
      <color theme="0"/>
      <name val="Arial Narrow"/>
      <family val="2"/>
      <charset val="204"/>
    </font>
    <font>
      <sz val="9"/>
      <color theme="1"/>
      <name val="Arial Narrow"/>
      <family val="2"/>
      <charset val="204"/>
    </font>
    <font>
      <sz val="9"/>
      <color rgb="FFFF0000"/>
      <name val="Arial Narrow"/>
      <family val="2"/>
      <charset val="204"/>
    </font>
    <font>
      <sz val="11"/>
      <color theme="0" tint="-4.9989318521683403E-2"/>
      <name val="Arial Narrow"/>
      <family val="2"/>
      <charset val="204"/>
    </font>
    <font>
      <sz val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sz val="9"/>
      <color theme="1"/>
      <name val="Arial Narrow"/>
      <family val="2"/>
      <charset val="204"/>
    </font>
    <font>
      <sz val="9"/>
      <color theme="1" tint="0.249977111117893"/>
      <name val="Arial Narrow"/>
      <family val="2"/>
      <charset val="204"/>
    </font>
    <font>
      <sz val="9"/>
      <color theme="1" tint="0.499984740745262"/>
      <name val="Arial Narrow"/>
      <family val="2"/>
      <charset val="204"/>
    </font>
    <font>
      <b/>
      <sz val="9"/>
      <name val="Arial Narrow"/>
      <family val="2"/>
      <charset val="204"/>
    </font>
    <font>
      <sz val="10"/>
      <color rgb="FF000000"/>
      <name val="Calibri"/>
      <family val="2"/>
      <charset val="204"/>
    </font>
    <font>
      <i/>
      <sz val="12"/>
      <color theme="1"/>
      <name val="Arial Narrow"/>
      <family val="2"/>
      <charset val="204"/>
    </font>
    <font>
      <b/>
      <i/>
      <sz val="12"/>
      <color theme="1"/>
      <name val="Arial Narrow"/>
      <family val="2"/>
      <charset val="204"/>
    </font>
    <font>
      <sz val="12"/>
      <color indexed="8"/>
      <name val="Arial Narrow"/>
      <family val="2"/>
      <charset val="204"/>
    </font>
    <font>
      <b/>
      <sz val="12"/>
      <color indexed="8"/>
      <name val="Arial Narrow"/>
      <family val="2"/>
      <charset val="204"/>
    </font>
    <font>
      <sz val="12"/>
      <color theme="1"/>
      <name val="Arial Narrow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Arial Narrow"/>
      <family val="2"/>
      <charset val="204"/>
    </font>
    <font>
      <sz val="9"/>
      <color theme="3"/>
      <name val="Calibri"/>
      <family val="2"/>
      <charset val="204"/>
      <scheme val="minor"/>
    </font>
    <font>
      <sz val="9"/>
      <color theme="1" tint="0.34998626667073579"/>
      <name val="Arial Narrow"/>
      <family val="2"/>
      <charset val="204"/>
    </font>
    <font>
      <sz val="10"/>
      <color theme="1" tint="0.34998626667073579"/>
      <name val="Calibri"/>
      <family val="2"/>
      <charset val="204"/>
      <scheme val="minor"/>
    </font>
    <font>
      <sz val="7"/>
      <color theme="1"/>
      <name val="Calibri"/>
      <family val="2"/>
      <charset val="204"/>
      <scheme val="minor"/>
    </font>
    <font>
      <b/>
      <sz val="8"/>
      <color theme="0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0" fontId="7" fillId="0" borderId="0"/>
    <xf numFmtId="0" fontId="11" fillId="7" borderId="13">
      <protection locked="0"/>
    </xf>
    <xf numFmtId="0" fontId="4" fillId="0" borderId="0"/>
    <xf numFmtId="0" fontId="5" fillId="0" borderId="0"/>
    <xf numFmtId="9" fontId="5" fillId="0" borderId="0" applyFont="0" applyFill="0" applyBorder="0" applyAlignment="0" applyProtection="0"/>
    <xf numFmtId="0" fontId="24" fillId="0" borderId="0"/>
  </cellStyleXfs>
  <cellXfs count="132">
    <xf numFmtId="0" fontId="0" fillId="0" borderId="0" xfId="0"/>
    <xf numFmtId="0" fontId="6" fillId="2" borderId="1" xfId="0" applyFont="1" applyFill="1" applyBorder="1"/>
    <xf numFmtId="3" fontId="10" fillId="6" borderId="12" xfId="0" applyNumberFormat="1" applyFont="1" applyFill="1" applyBorder="1" applyAlignment="1" applyProtection="1">
      <alignment horizontal="right" vertical="center"/>
      <protection locked="0" hidden="1"/>
    </xf>
    <xf numFmtId="164" fontId="10" fillId="6" borderId="12" xfId="0" applyNumberFormat="1" applyFont="1" applyFill="1" applyBorder="1" applyAlignment="1" applyProtection="1">
      <alignment horizontal="right" vertical="center"/>
      <protection locked="0" hidden="1"/>
    </xf>
    <xf numFmtId="0" fontId="15" fillId="0" borderId="0" xfId="0" applyFont="1" applyProtection="1">
      <protection hidden="1"/>
    </xf>
    <xf numFmtId="0" fontId="9" fillId="8" borderId="0" xfId="2" applyFont="1" applyFill="1" applyAlignment="1" applyProtection="1">
      <alignment vertical="center"/>
      <protection hidden="1"/>
    </xf>
    <xf numFmtId="0" fontId="9" fillId="8" borderId="0" xfId="2" applyFont="1" applyFill="1" applyAlignment="1" applyProtection="1">
      <alignment horizontal="center" vertical="center"/>
      <protection hidden="1"/>
    </xf>
    <xf numFmtId="165" fontId="21" fillId="10" borderId="12" xfId="2" applyNumberFormat="1" applyFont="1" applyFill="1" applyBorder="1" applyAlignment="1" applyProtection="1">
      <alignment horizontal="right" vertical="center"/>
      <protection hidden="1"/>
    </xf>
    <xf numFmtId="166" fontId="10" fillId="6" borderId="12" xfId="1" applyNumberFormat="1" applyFont="1" applyFill="1" applyBorder="1" applyAlignment="1" applyProtection="1">
      <alignment horizontal="right" vertical="center"/>
      <protection locked="0" hidden="1"/>
    </xf>
    <xf numFmtId="166" fontId="10" fillId="6" borderId="12" xfId="1" applyNumberFormat="1" applyFont="1" applyFill="1" applyBorder="1" applyAlignment="1" applyProtection="1">
      <alignment horizontal="center" vertical="center"/>
      <protection locked="0" hidden="1"/>
    </xf>
    <xf numFmtId="0" fontId="22" fillId="8" borderId="0" xfId="2" applyFont="1" applyFill="1" applyAlignment="1" applyProtection="1">
      <alignment vertical="center"/>
      <protection hidden="1"/>
    </xf>
    <xf numFmtId="166" fontId="9" fillId="10" borderId="12" xfId="2" applyNumberFormat="1" applyFont="1" applyFill="1" applyBorder="1" applyAlignment="1" applyProtection="1">
      <alignment vertical="center"/>
      <protection hidden="1"/>
    </xf>
    <xf numFmtId="0" fontId="9" fillId="8" borderId="18" xfId="2" applyFont="1" applyFill="1" applyBorder="1" applyAlignment="1" applyProtection="1">
      <alignment vertical="center"/>
      <protection hidden="1"/>
    </xf>
    <xf numFmtId="0" fontId="13" fillId="9" borderId="12" xfId="2" applyFont="1" applyFill="1" applyBorder="1" applyAlignment="1" applyProtection="1">
      <alignment horizontal="center" vertical="center" wrapText="1" shrinkToFit="1"/>
      <protection hidden="1"/>
    </xf>
    <xf numFmtId="3" fontId="21" fillId="10" borderId="12" xfId="2" applyNumberFormat="1" applyFont="1" applyFill="1" applyBorder="1" applyAlignment="1" applyProtection="1">
      <alignment horizontal="right" vertical="center"/>
      <protection hidden="1"/>
    </xf>
    <xf numFmtId="0" fontId="9" fillId="4" borderId="9" xfId="2" applyFont="1" applyFill="1" applyBorder="1" applyAlignment="1" applyProtection="1">
      <alignment horizontal="left" vertical="center"/>
      <protection hidden="1"/>
    </xf>
    <xf numFmtId="0" fontId="9" fillId="4" borderId="10" xfId="2" applyFont="1" applyFill="1" applyBorder="1" applyAlignment="1" applyProtection="1">
      <alignment horizontal="left" vertical="center"/>
      <protection hidden="1"/>
    </xf>
    <xf numFmtId="0" fontId="9" fillId="4" borderId="11" xfId="2" applyFont="1" applyFill="1" applyBorder="1" applyAlignment="1" applyProtection="1">
      <alignment horizontal="left" vertical="center"/>
      <protection hidden="1"/>
    </xf>
    <xf numFmtId="0" fontId="21" fillId="10" borderId="11" xfId="2" applyFont="1" applyFill="1" applyBorder="1" applyAlignment="1" applyProtection="1">
      <alignment horizontal="right" vertical="center"/>
      <protection hidden="1"/>
    </xf>
    <xf numFmtId="0" fontId="23" fillId="8" borderId="0" xfId="2" applyFont="1" applyFill="1" applyAlignment="1" applyProtection="1">
      <alignment horizontal="center" vertical="center" wrapText="1"/>
      <protection hidden="1"/>
    </xf>
    <xf numFmtId="0" fontId="22" fillId="8" borderId="0" xfId="2" applyFont="1" applyFill="1" applyAlignment="1" applyProtection="1">
      <alignment horizontal="left" vertical="center"/>
      <protection hidden="1"/>
    </xf>
    <xf numFmtId="0" fontId="20" fillId="9" borderId="11" xfId="2" applyFont="1" applyFill="1" applyBorder="1" applyAlignment="1" applyProtection="1">
      <alignment horizontal="left" vertical="center" wrapText="1" shrinkToFit="1"/>
      <protection hidden="1"/>
    </xf>
    <xf numFmtId="0" fontId="21" fillId="10" borderId="12" xfId="2" applyFont="1" applyFill="1" applyBorder="1" applyAlignment="1" applyProtection="1">
      <alignment horizontal="right" vertical="center"/>
      <protection hidden="1"/>
    </xf>
    <xf numFmtId="0" fontId="20" fillId="9" borderId="17" xfId="2" applyFont="1" applyFill="1" applyBorder="1" applyAlignment="1" applyProtection="1">
      <alignment horizontal="center" vertical="center" wrapText="1"/>
      <protection hidden="1"/>
    </xf>
    <xf numFmtId="0" fontId="23" fillId="8" borderId="19" xfId="2" applyFont="1" applyFill="1" applyBorder="1" applyAlignment="1" applyProtection="1">
      <alignment vertical="center" wrapText="1"/>
      <protection hidden="1"/>
    </xf>
    <xf numFmtId="0" fontId="23" fillId="8" borderId="0" xfId="2" applyFont="1" applyFill="1" applyAlignment="1" applyProtection="1">
      <alignment vertical="center" wrapText="1"/>
      <protection hidden="1"/>
    </xf>
    <xf numFmtId="166" fontId="10" fillId="10" borderId="12" xfId="1" applyNumberFormat="1" applyFont="1" applyFill="1" applyBorder="1" applyAlignment="1" applyProtection="1">
      <alignment horizontal="right" vertical="center"/>
      <protection locked="0" hidden="1"/>
    </xf>
    <xf numFmtId="0" fontId="9" fillId="10" borderId="12" xfId="2" applyFont="1" applyFill="1" applyBorder="1" applyAlignment="1" applyProtection="1">
      <alignment horizontal="left" vertical="center"/>
      <protection hidden="1"/>
    </xf>
    <xf numFmtId="0" fontId="9" fillId="10" borderId="11" xfId="2" applyFont="1" applyFill="1" applyBorder="1" applyAlignment="1" applyProtection="1">
      <alignment horizontal="left" vertical="center"/>
      <protection hidden="1"/>
    </xf>
    <xf numFmtId="164" fontId="10" fillId="10" borderId="12" xfId="0" applyNumberFormat="1" applyFont="1" applyFill="1" applyBorder="1" applyAlignment="1" applyProtection="1">
      <alignment horizontal="right" vertical="center"/>
      <protection hidden="1"/>
    </xf>
    <xf numFmtId="0" fontId="16" fillId="0" borderId="0" xfId="0" applyFont="1"/>
    <xf numFmtId="166" fontId="10" fillId="11" borderId="12" xfId="1" applyNumberFormat="1" applyFont="1" applyFill="1" applyBorder="1" applyAlignment="1" applyProtection="1">
      <alignment horizontal="right" vertical="center"/>
      <protection hidden="1"/>
    </xf>
    <xf numFmtId="3" fontId="10" fillId="10" borderId="12" xfId="0" applyNumberFormat="1" applyFont="1" applyFill="1" applyBorder="1" applyAlignment="1" applyProtection="1">
      <alignment horizontal="right" vertical="center"/>
      <protection hidden="1"/>
    </xf>
    <xf numFmtId="0" fontId="19" fillId="8" borderId="0" xfId="0" applyFont="1" applyFill="1"/>
    <xf numFmtId="0" fontId="9" fillId="6" borderId="11" xfId="2" applyFont="1" applyFill="1" applyBorder="1" applyAlignment="1" applyProtection="1">
      <alignment horizontal="left" vertical="center"/>
      <protection locked="0" hidden="1"/>
    </xf>
    <xf numFmtId="0" fontId="9" fillId="6" borderId="12" xfId="2" applyFont="1" applyFill="1" applyBorder="1" applyAlignment="1" applyProtection="1">
      <alignment horizontal="center" vertical="center"/>
      <protection locked="0" hidden="1"/>
    </xf>
    <xf numFmtId="0" fontId="9" fillId="8" borderId="0" xfId="2" applyFont="1" applyFill="1" applyAlignment="1" applyProtection="1">
      <alignment vertical="center"/>
      <protection locked="0" hidden="1"/>
    </xf>
    <xf numFmtId="0" fontId="9" fillId="6" borderId="11" xfId="2" applyFont="1" applyFill="1" applyBorder="1" applyAlignment="1" applyProtection="1">
      <alignment horizontal="center" vertical="center"/>
      <protection locked="0" hidden="1"/>
    </xf>
    <xf numFmtId="0" fontId="25" fillId="3" borderId="2" xfId="0" applyFont="1" applyFill="1" applyBorder="1" applyAlignment="1">
      <alignment vertical="top" wrapText="1"/>
    </xf>
    <xf numFmtId="0" fontId="25" fillId="3" borderId="3" xfId="0" applyFont="1" applyFill="1" applyBorder="1" applyAlignment="1">
      <alignment vertical="top" wrapText="1"/>
    </xf>
    <xf numFmtId="0" fontId="27" fillId="4" borderId="4" xfId="0" applyFont="1" applyFill="1" applyBorder="1" applyAlignment="1">
      <alignment horizontal="left" vertical="center" wrapText="1"/>
    </xf>
    <xf numFmtId="0" fontId="27" fillId="8" borderId="4" xfId="0" applyFont="1" applyFill="1" applyBorder="1" applyAlignment="1">
      <alignment horizontal="left" vertical="center" wrapText="1"/>
    </xf>
    <xf numFmtId="0" fontId="29" fillId="3" borderId="3" xfId="0" applyFont="1" applyFill="1" applyBorder="1" applyAlignment="1">
      <alignment horizontal="left" vertical="center" wrapText="1"/>
    </xf>
    <xf numFmtId="0" fontId="30" fillId="8" borderId="0" xfId="0" applyFont="1" applyFill="1"/>
    <xf numFmtId="0" fontId="13" fillId="9" borderId="12" xfId="2" applyFont="1" applyFill="1" applyBorder="1" applyAlignment="1" applyProtection="1">
      <alignment horizontal="center" vertical="center" wrapText="1"/>
      <protection hidden="1"/>
    </xf>
    <xf numFmtId="166" fontId="21" fillId="10" borderId="12" xfId="1" applyNumberFormat="1" applyFont="1" applyFill="1" applyBorder="1" applyAlignment="1" applyProtection="1">
      <alignment horizontal="right" vertical="center" shrinkToFit="1"/>
      <protection hidden="1"/>
    </xf>
    <xf numFmtId="9" fontId="13" fillId="9" borderId="17" xfId="1" applyFont="1" applyFill="1" applyBorder="1" applyAlignment="1" applyProtection="1">
      <alignment horizontal="center" vertical="center" wrapText="1"/>
      <protection hidden="1"/>
    </xf>
    <xf numFmtId="0" fontId="13" fillId="9" borderId="17" xfId="2" applyFont="1" applyFill="1" applyBorder="1" applyAlignment="1" applyProtection="1">
      <alignment horizontal="center" vertical="center" wrapText="1"/>
      <protection hidden="1"/>
    </xf>
    <xf numFmtId="166" fontId="10" fillId="0" borderId="12" xfId="0" applyNumberFormat="1" applyFont="1" applyBorder="1" applyProtection="1">
      <protection locked="0" hidden="1"/>
    </xf>
    <xf numFmtId="0" fontId="32" fillId="0" borderId="12" xfId="0" applyFont="1" applyBorder="1"/>
    <xf numFmtId="0" fontId="22" fillId="8" borderId="0" xfId="0" applyFont="1" applyFill="1"/>
    <xf numFmtId="0" fontId="20" fillId="9" borderId="16" xfId="2" applyFont="1" applyFill="1" applyBorder="1" applyAlignment="1" applyProtection="1">
      <alignment horizontal="center" vertical="center" wrapText="1"/>
      <protection hidden="1"/>
    </xf>
    <xf numFmtId="0" fontId="22" fillId="8" borderId="0" xfId="2" applyFont="1" applyFill="1" applyAlignment="1" applyProtection="1">
      <alignment horizontal="center" vertical="center"/>
      <protection hidden="1"/>
    </xf>
    <xf numFmtId="165" fontId="21" fillId="11" borderId="12" xfId="2" applyNumberFormat="1" applyFont="1" applyFill="1" applyBorder="1" applyAlignment="1" applyProtection="1">
      <alignment horizontal="right" vertical="center"/>
      <protection hidden="1"/>
    </xf>
    <xf numFmtId="3" fontId="10" fillId="6" borderId="12" xfId="0" applyNumberFormat="1" applyFont="1" applyFill="1" applyBorder="1" applyAlignment="1" applyProtection="1">
      <alignment horizontal="right" vertical="center"/>
      <protection hidden="1"/>
    </xf>
    <xf numFmtId="0" fontId="16" fillId="8" borderId="0" xfId="0" applyFont="1" applyFill="1"/>
    <xf numFmtId="0" fontId="0" fillId="8" borderId="0" xfId="0" applyFill="1"/>
    <xf numFmtId="166" fontId="13" fillId="11" borderId="12" xfId="1" applyNumberFormat="1" applyFont="1" applyFill="1" applyBorder="1" applyAlignment="1" applyProtection="1">
      <alignment horizontal="right" vertical="center"/>
      <protection hidden="1"/>
    </xf>
    <xf numFmtId="0" fontId="33" fillId="10" borderId="9" xfId="2" applyFont="1" applyFill="1" applyBorder="1" applyAlignment="1" applyProtection="1">
      <alignment vertical="center"/>
      <protection hidden="1"/>
    </xf>
    <xf numFmtId="0" fontId="33" fillId="10" borderId="10" xfId="2" applyFont="1" applyFill="1" applyBorder="1" applyAlignment="1" applyProtection="1">
      <alignment vertical="center"/>
      <protection hidden="1"/>
    </xf>
    <xf numFmtId="0" fontId="29" fillId="3" borderId="0" xfId="0" applyFont="1" applyFill="1" applyAlignment="1">
      <alignment horizontal="left" vertical="center" wrapText="1"/>
    </xf>
    <xf numFmtId="0" fontId="29" fillId="6" borderId="3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5"/>
    </xf>
    <xf numFmtId="3" fontId="10" fillId="8" borderId="12" xfId="0" applyNumberFormat="1" applyFont="1" applyFill="1" applyBorder="1" applyAlignment="1" applyProtection="1">
      <alignment horizontal="right" vertical="center"/>
      <protection hidden="1"/>
    </xf>
    <xf numFmtId="3" fontId="10" fillId="8" borderId="12" xfId="0" applyNumberFormat="1" applyFont="1" applyFill="1" applyBorder="1" applyAlignment="1" applyProtection="1">
      <alignment horizontal="right" vertical="center"/>
      <protection locked="0" hidden="1"/>
    </xf>
    <xf numFmtId="164" fontId="10" fillId="8" borderId="12" xfId="0" applyNumberFormat="1" applyFont="1" applyFill="1" applyBorder="1" applyAlignment="1" applyProtection="1">
      <alignment horizontal="right" vertical="center"/>
      <protection locked="0" hidden="1"/>
    </xf>
    <xf numFmtId="0" fontId="3" fillId="0" borderId="0" xfId="0" applyFont="1" applyAlignment="1">
      <alignment horizontal="left" vertical="center" indent="5"/>
    </xf>
    <xf numFmtId="0" fontId="2" fillId="0" borderId="0" xfId="0" applyFont="1" applyAlignment="1">
      <alignment horizontal="left" vertical="center" indent="5"/>
    </xf>
    <xf numFmtId="0" fontId="29" fillId="4" borderId="4" xfId="0" applyFont="1" applyFill="1" applyBorder="1" applyAlignment="1">
      <alignment horizontal="left" vertical="center" wrapText="1"/>
    </xf>
    <xf numFmtId="0" fontId="13" fillId="9" borderId="17" xfId="2" applyFont="1" applyFill="1" applyBorder="1" applyAlignment="1" applyProtection="1">
      <alignment horizontal="center" vertical="center" wrapText="1" shrinkToFit="1"/>
      <protection hidden="1"/>
    </xf>
    <xf numFmtId="0" fontId="8" fillId="5" borderId="5" xfId="2" applyFont="1" applyFill="1" applyBorder="1" applyAlignment="1" applyProtection="1">
      <alignment horizontal="center" vertical="center" wrapText="1"/>
      <protection hidden="1"/>
    </xf>
    <xf numFmtId="0" fontId="8" fillId="5" borderId="6" xfId="2" applyFont="1" applyFill="1" applyBorder="1" applyAlignment="1" applyProtection="1">
      <alignment horizontal="center" vertical="center" wrapText="1"/>
      <protection hidden="1"/>
    </xf>
    <xf numFmtId="0" fontId="8" fillId="5" borderId="7" xfId="2" applyFont="1" applyFill="1" applyBorder="1" applyAlignment="1" applyProtection="1">
      <alignment horizontal="center" vertical="center" wrapText="1"/>
      <protection hidden="1"/>
    </xf>
    <xf numFmtId="0" fontId="8" fillId="5" borderId="8" xfId="2" applyFont="1" applyFill="1" applyBorder="1" applyAlignment="1" applyProtection="1">
      <alignment horizontal="center" vertical="center" wrapText="1"/>
      <protection hidden="1"/>
    </xf>
    <xf numFmtId="0" fontId="9" fillId="4" borderId="9" xfId="2" applyFont="1" applyFill="1" applyBorder="1" applyAlignment="1" applyProtection="1">
      <alignment horizontal="left" vertical="center"/>
      <protection hidden="1"/>
    </xf>
    <xf numFmtId="0" fontId="9" fillId="4" borderId="10" xfId="2" applyFont="1" applyFill="1" applyBorder="1" applyAlignment="1" applyProtection="1">
      <alignment horizontal="left" vertical="center"/>
      <protection hidden="1"/>
    </xf>
    <xf numFmtId="0" fontId="9" fillId="4" borderId="11" xfId="2" applyFont="1" applyFill="1" applyBorder="1" applyAlignment="1" applyProtection="1">
      <alignment horizontal="left" vertical="center"/>
      <protection hidden="1"/>
    </xf>
    <xf numFmtId="0" fontId="20" fillId="9" borderId="9" xfId="2" applyFont="1" applyFill="1" applyBorder="1" applyAlignment="1" applyProtection="1">
      <alignment horizontal="center" vertical="center" wrapText="1"/>
      <protection hidden="1"/>
    </xf>
    <xf numFmtId="0" fontId="20" fillId="9" borderId="10" xfId="2" applyFont="1" applyFill="1" applyBorder="1" applyAlignment="1" applyProtection="1">
      <alignment horizontal="center" vertical="center" wrapText="1"/>
      <protection hidden="1"/>
    </xf>
    <xf numFmtId="0" fontId="20" fillId="9" borderId="11" xfId="2" applyFont="1" applyFill="1" applyBorder="1" applyAlignment="1" applyProtection="1">
      <alignment horizontal="center" vertical="center" wrapText="1"/>
      <protection hidden="1"/>
    </xf>
    <xf numFmtId="9" fontId="0" fillId="0" borderId="9" xfId="1" applyFont="1" applyBorder="1" applyAlignment="1">
      <alignment horizontal="center"/>
    </xf>
    <xf numFmtId="9" fontId="0" fillId="0" borderId="11" xfId="1" applyFont="1" applyBorder="1" applyAlignment="1">
      <alignment horizontal="center"/>
    </xf>
    <xf numFmtId="0" fontId="9" fillId="6" borderId="9" xfId="2" applyFont="1" applyFill="1" applyBorder="1" applyAlignment="1" applyProtection="1">
      <alignment horizontal="center" vertical="center"/>
      <protection locked="0" hidden="1"/>
    </xf>
    <xf numFmtId="0" fontId="9" fillId="6" borderId="11" xfId="2" applyFont="1" applyFill="1" applyBorder="1" applyAlignment="1" applyProtection="1">
      <alignment horizontal="center" vertical="center"/>
      <protection locked="0" hidden="1"/>
    </xf>
    <xf numFmtId="0" fontId="21" fillId="10" borderId="9" xfId="2" applyFont="1" applyFill="1" applyBorder="1" applyAlignment="1" applyProtection="1">
      <alignment horizontal="right" vertical="center"/>
      <protection hidden="1"/>
    </xf>
    <xf numFmtId="0" fontId="21" fillId="10" borderId="10" xfId="2" applyFont="1" applyFill="1" applyBorder="1" applyAlignment="1" applyProtection="1">
      <alignment horizontal="right" vertical="center"/>
      <protection hidden="1"/>
    </xf>
    <xf numFmtId="0" fontId="21" fillId="10" borderId="11" xfId="2" applyFont="1" applyFill="1" applyBorder="1" applyAlignment="1" applyProtection="1">
      <alignment horizontal="right" vertical="center"/>
      <protection hidden="1"/>
    </xf>
    <xf numFmtId="0" fontId="13" fillId="6" borderId="12" xfId="2" applyFont="1" applyFill="1" applyBorder="1" applyAlignment="1" applyProtection="1">
      <alignment horizontal="center" vertical="top" wrapText="1"/>
      <protection hidden="1"/>
    </xf>
    <xf numFmtId="0" fontId="20" fillId="9" borderId="14" xfId="2" applyFont="1" applyFill="1" applyBorder="1" applyAlignment="1" applyProtection="1">
      <alignment horizontal="center" vertical="center" wrapText="1" shrinkToFit="1"/>
      <protection hidden="1"/>
    </xf>
    <xf numFmtId="0" fontId="20" fillId="9" borderId="15" xfId="2" applyFont="1" applyFill="1" applyBorder="1" applyAlignment="1" applyProtection="1">
      <alignment horizontal="center" vertical="center" wrapText="1" shrinkToFit="1"/>
      <protection hidden="1"/>
    </xf>
    <xf numFmtId="0" fontId="20" fillId="9" borderId="16" xfId="2" applyFont="1" applyFill="1" applyBorder="1" applyAlignment="1" applyProtection="1">
      <alignment horizontal="center" vertical="center" wrapText="1" shrinkToFit="1"/>
      <protection hidden="1"/>
    </xf>
    <xf numFmtId="166" fontId="10" fillId="6" borderId="9" xfId="1" applyNumberFormat="1" applyFont="1" applyFill="1" applyBorder="1" applyAlignment="1" applyProtection="1">
      <alignment horizontal="center" vertical="center"/>
      <protection locked="0" hidden="1"/>
    </xf>
    <xf numFmtId="166" fontId="10" fillId="6" borderId="10" xfId="1" applyNumberFormat="1" applyFont="1" applyFill="1" applyBorder="1" applyAlignment="1" applyProtection="1">
      <alignment horizontal="center" vertical="center"/>
      <protection locked="0" hidden="1"/>
    </xf>
    <xf numFmtId="166" fontId="10" fillId="6" borderId="11" xfId="1" applyNumberFormat="1" applyFont="1" applyFill="1" applyBorder="1" applyAlignment="1" applyProtection="1">
      <alignment horizontal="center" vertical="center"/>
      <protection locked="0" hidden="1"/>
    </xf>
    <xf numFmtId="0" fontId="22" fillId="8" borderId="10" xfId="2" applyFont="1" applyFill="1" applyBorder="1" applyAlignment="1" applyProtection="1">
      <alignment horizontal="left" vertical="center"/>
      <protection hidden="1"/>
    </xf>
    <xf numFmtId="0" fontId="23" fillId="8" borderId="19" xfId="2" applyFont="1" applyFill="1" applyBorder="1" applyAlignment="1" applyProtection="1">
      <alignment horizontal="center" vertical="center" wrapText="1"/>
      <protection hidden="1"/>
    </xf>
    <xf numFmtId="0" fontId="12" fillId="5" borderId="18" xfId="2" applyFont="1" applyFill="1" applyBorder="1" applyAlignment="1" applyProtection="1">
      <alignment horizontal="center" vertical="center" wrapText="1"/>
      <protection hidden="1"/>
    </xf>
    <xf numFmtId="0" fontId="12" fillId="5" borderId="0" xfId="2" applyFont="1" applyFill="1" applyAlignment="1" applyProtection="1">
      <alignment horizontal="center" vertical="center" wrapText="1"/>
      <protection hidden="1"/>
    </xf>
    <xf numFmtId="0" fontId="9" fillId="4" borderId="14" xfId="2" applyFont="1" applyFill="1" applyBorder="1" applyAlignment="1" applyProtection="1">
      <alignment horizontal="center" vertical="center" wrapText="1"/>
      <protection hidden="1"/>
    </xf>
    <xf numFmtId="0" fontId="9" fillId="4" borderId="16" xfId="2" applyFont="1" applyFill="1" applyBorder="1" applyAlignment="1" applyProtection="1">
      <alignment horizontal="center" vertical="center" wrapText="1"/>
      <protection hidden="1"/>
    </xf>
    <xf numFmtId="0" fontId="9" fillId="4" borderId="18" xfId="2" applyFont="1" applyFill="1" applyBorder="1" applyAlignment="1" applyProtection="1">
      <alignment horizontal="center" vertical="center" wrapText="1"/>
      <protection hidden="1"/>
    </xf>
    <xf numFmtId="0" fontId="9" fillId="4" borderId="22" xfId="2" applyFont="1" applyFill="1" applyBorder="1" applyAlignment="1" applyProtection="1">
      <alignment horizontal="center" vertical="center" wrapText="1"/>
      <protection hidden="1"/>
    </xf>
    <xf numFmtId="0" fontId="9" fillId="4" borderId="20" xfId="2" applyFont="1" applyFill="1" applyBorder="1" applyAlignment="1" applyProtection="1">
      <alignment horizontal="center" vertical="center" wrapText="1"/>
      <protection hidden="1"/>
    </xf>
    <xf numFmtId="0" fontId="9" fillId="4" borderId="21" xfId="2" applyFont="1" applyFill="1" applyBorder="1" applyAlignment="1" applyProtection="1">
      <alignment horizontal="center" vertical="center" wrapText="1"/>
      <protection hidden="1"/>
    </xf>
    <xf numFmtId="0" fontId="13" fillId="8" borderId="0" xfId="0" applyFont="1" applyFill="1" applyAlignment="1">
      <alignment horizontal="left" vertical="center"/>
    </xf>
    <xf numFmtId="0" fontId="13" fillId="8" borderId="0" xfId="0" quotePrefix="1" applyFont="1" applyFill="1" applyAlignment="1">
      <alignment horizontal="left" vertical="center"/>
    </xf>
    <xf numFmtId="0" fontId="18" fillId="8" borderId="0" xfId="0" applyFont="1" applyFill="1" applyAlignment="1">
      <alignment horizontal="left" vertical="top"/>
    </xf>
    <xf numFmtId="0" fontId="23" fillId="4" borderId="9" xfId="2" applyFont="1" applyFill="1" applyBorder="1" applyAlignment="1" applyProtection="1">
      <alignment horizontal="left" vertical="center"/>
      <protection hidden="1"/>
    </xf>
    <xf numFmtId="0" fontId="23" fillId="4" borderId="10" xfId="2" applyFont="1" applyFill="1" applyBorder="1" applyAlignment="1" applyProtection="1">
      <alignment horizontal="left" vertical="center"/>
      <protection hidden="1"/>
    </xf>
    <xf numFmtId="0" fontId="23" fillId="4" borderId="11" xfId="2" applyFont="1" applyFill="1" applyBorder="1" applyAlignment="1" applyProtection="1">
      <alignment horizontal="left" vertical="center"/>
      <protection hidden="1"/>
    </xf>
    <xf numFmtId="0" fontId="20" fillId="9" borderId="9" xfId="2" applyFont="1" applyFill="1" applyBorder="1" applyAlignment="1" applyProtection="1">
      <alignment horizontal="left" vertical="center" wrapText="1" shrinkToFit="1"/>
      <protection hidden="1"/>
    </xf>
    <xf numFmtId="0" fontId="20" fillId="9" borderId="10" xfId="2" applyFont="1" applyFill="1" applyBorder="1" applyAlignment="1" applyProtection="1">
      <alignment horizontal="left" vertical="center" wrapText="1" shrinkToFit="1"/>
      <protection hidden="1"/>
    </xf>
    <xf numFmtId="0" fontId="20" fillId="9" borderId="11" xfId="2" applyFont="1" applyFill="1" applyBorder="1" applyAlignment="1" applyProtection="1">
      <alignment horizontal="left" vertical="center" wrapText="1" shrinkToFit="1"/>
      <protection hidden="1"/>
    </xf>
    <xf numFmtId="0" fontId="22" fillId="8" borderId="13" xfId="2" applyFont="1" applyFill="1" applyBorder="1" applyAlignment="1" applyProtection="1">
      <alignment horizontal="left" vertical="center"/>
      <protection hidden="1"/>
    </xf>
    <xf numFmtId="0" fontId="9" fillId="8" borderId="0" xfId="2" applyFont="1" applyFill="1" applyAlignment="1" applyProtection="1">
      <alignment horizontal="right" vertical="center"/>
      <protection hidden="1"/>
    </xf>
    <xf numFmtId="0" fontId="20" fillId="6" borderId="12" xfId="0" applyFont="1" applyFill="1" applyBorder="1" applyAlignment="1" applyProtection="1">
      <alignment horizontal="center" vertical="center"/>
      <protection locked="0" hidden="1"/>
    </xf>
    <xf numFmtId="0" fontId="9" fillId="4" borderId="9" xfId="2" applyFont="1" applyFill="1" applyBorder="1" applyAlignment="1" applyProtection="1">
      <alignment horizontal="center" vertical="center"/>
      <protection hidden="1"/>
    </xf>
    <xf numFmtId="0" fontId="9" fillId="4" borderId="11" xfId="2" applyFont="1" applyFill="1" applyBorder="1" applyAlignment="1" applyProtection="1">
      <alignment horizontal="center" vertical="center"/>
      <protection hidden="1"/>
    </xf>
    <xf numFmtId="0" fontId="21" fillId="10" borderId="12" xfId="2" applyFont="1" applyFill="1" applyBorder="1" applyAlignment="1" applyProtection="1">
      <alignment horizontal="right" vertical="center"/>
      <protection hidden="1"/>
    </xf>
    <xf numFmtId="0" fontId="9" fillId="6" borderId="12" xfId="2" applyFont="1" applyFill="1" applyBorder="1" applyAlignment="1" applyProtection="1">
      <alignment horizontal="center" vertical="center"/>
      <protection locked="0" hidden="1"/>
    </xf>
    <xf numFmtId="0" fontId="13" fillId="8" borderId="0" xfId="0" applyFont="1" applyFill="1" applyAlignment="1" applyProtection="1">
      <alignment horizontal="right" vertical="center"/>
      <protection hidden="1"/>
    </xf>
    <xf numFmtId="0" fontId="20" fillId="9" borderId="12" xfId="2" applyFont="1" applyFill="1" applyBorder="1" applyAlignment="1" applyProtection="1">
      <alignment horizontal="center" vertical="center" wrapText="1"/>
      <protection hidden="1"/>
    </xf>
    <xf numFmtId="0" fontId="9" fillId="6" borderId="9" xfId="2" applyFont="1" applyFill="1" applyBorder="1" applyAlignment="1" applyProtection="1">
      <alignment horizontal="center" vertical="center"/>
      <protection hidden="1"/>
    </xf>
    <xf numFmtId="0" fontId="9" fillId="6" borderId="10" xfId="2" applyFont="1" applyFill="1" applyBorder="1" applyAlignment="1" applyProtection="1">
      <alignment horizontal="center" vertical="center"/>
      <protection hidden="1"/>
    </xf>
    <xf numFmtId="0" fontId="9" fillId="6" borderId="11" xfId="2" applyFont="1" applyFill="1" applyBorder="1" applyAlignment="1" applyProtection="1">
      <alignment horizontal="center" vertical="center"/>
      <protection hidden="1"/>
    </xf>
    <xf numFmtId="0" fontId="13" fillId="9" borderId="9" xfId="2" applyFont="1" applyFill="1" applyBorder="1" applyAlignment="1" applyProtection="1">
      <alignment horizontal="center" vertical="center" wrapText="1"/>
      <protection hidden="1"/>
    </xf>
    <xf numFmtId="0" fontId="13" fillId="9" borderId="11" xfId="2" applyFont="1" applyFill="1" applyBorder="1" applyAlignment="1" applyProtection="1">
      <alignment horizontal="center" vertical="center" wrapText="1"/>
      <protection hidden="1"/>
    </xf>
    <xf numFmtId="9" fontId="34" fillId="10" borderId="9" xfId="1" applyFont="1" applyFill="1" applyBorder="1" applyAlignment="1">
      <alignment horizontal="center"/>
    </xf>
    <xf numFmtId="9" fontId="34" fillId="10" borderId="11" xfId="1" applyFont="1" applyFill="1" applyBorder="1" applyAlignment="1">
      <alignment horizontal="center"/>
    </xf>
    <xf numFmtId="0" fontId="13" fillId="6" borderId="12" xfId="0" applyFont="1" applyFill="1" applyBorder="1" applyAlignment="1" applyProtection="1">
      <alignment horizontal="center" vertical="center" wrapText="1"/>
      <protection locked="0"/>
    </xf>
    <xf numFmtId="0" fontId="9" fillId="4" borderId="10" xfId="2" applyFont="1" applyFill="1" applyBorder="1" applyAlignment="1" applyProtection="1">
      <alignment horizontal="center" vertical="center"/>
      <protection hidden="1"/>
    </xf>
  </cellXfs>
  <cellStyles count="8">
    <cellStyle name="Обычный" xfId="0" builtinId="0"/>
    <cellStyle name="Обычный 2" xfId="2" xr:uid="{00000000-0005-0000-0000-000003000000}"/>
    <cellStyle name="Обычный 3" xfId="5" xr:uid="{00000000-0005-0000-0000-000004000000}"/>
    <cellStyle name="Обычный 4" xfId="4" xr:uid="{00000000-0005-0000-0000-000005000000}"/>
    <cellStyle name="Обычный 5" xfId="7" xr:uid="{00000000-0005-0000-0000-000006000000}"/>
    <cellStyle name="Процентный" xfId="1" builtinId="5"/>
    <cellStyle name="Процентный 2" xfId="6" xr:uid="{00000000-0005-0000-0000-000008000000}"/>
    <cellStyle name="Answer 2 2" xfId="3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D73"/>
  <sheetViews>
    <sheetView zoomScaleNormal="100" workbookViewId="0">
      <selection activeCell="A71" sqref="A71"/>
    </sheetView>
  </sheetViews>
  <sheetFormatPr baseColWidth="10" defaultColWidth="0" defaultRowHeight="14" x14ac:dyDescent="0.2"/>
  <cols>
    <col min="1" max="1" width="113.3984375" customWidth="1"/>
    <col min="2" max="16384" width="9" hidden="1"/>
  </cols>
  <sheetData>
    <row r="1" spans="1:1" ht="34" thickBot="1" x14ac:dyDescent="0.4">
      <c r="A1" s="1" t="s">
        <v>0</v>
      </c>
    </row>
    <row r="2" spans="1:1" ht="23.25" customHeight="1" x14ac:dyDescent="0.2">
      <c r="A2" s="38" t="s">
        <v>39</v>
      </c>
    </row>
    <row r="3" spans="1:1" ht="92.25" customHeight="1" x14ac:dyDescent="0.2">
      <c r="A3" s="39" t="s">
        <v>253</v>
      </c>
    </row>
    <row r="4" spans="1:1" ht="32.25" customHeight="1" x14ac:dyDescent="0.2">
      <c r="A4" s="39" t="s">
        <v>254</v>
      </c>
    </row>
    <row r="5" spans="1:1" ht="101.25" customHeight="1" x14ac:dyDescent="0.2">
      <c r="A5" s="39" t="s">
        <v>195</v>
      </c>
    </row>
    <row r="6" spans="1:1" ht="78.75" customHeight="1" x14ac:dyDescent="0.2">
      <c r="A6" s="39" t="s">
        <v>249</v>
      </c>
    </row>
    <row r="7" spans="1:1" ht="18" customHeight="1" x14ac:dyDescent="0.2">
      <c r="A7" s="39"/>
    </row>
    <row r="8" spans="1:1" ht="17" x14ac:dyDescent="0.2">
      <c r="A8" s="39" t="s">
        <v>62</v>
      </c>
    </row>
    <row r="9" spans="1:1" ht="206.25" customHeight="1" x14ac:dyDescent="0.2">
      <c r="A9" s="40" t="s">
        <v>139</v>
      </c>
    </row>
    <row r="10" spans="1:1" ht="187" x14ac:dyDescent="0.2">
      <c r="A10" s="40" t="s">
        <v>140</v>
      </c>
    </row>
    <row r="11" spans="1:1" ht="63.75" customHeight="1" x14ac:dyDescent="0.2">
      <c r="A11" s="41" t="s">
        <v>250</v>
      </c>
    </row>
    <row r="12" spans="1:1" ht="34" x14ac:dyDescent="0.2">
      <c r="A12" s="40" t="s">
        <v>63</v>
      </c>
    </row>
    <row r="13" spans="1:1" ht="15" x14ac:dyDescent="0.2">
      <c r="A13" s="63" t="s">
        <v>226</v>
      </c>
    </row>
    <row r="14" spans="1:1" ht="15" x14ac:dyDescent="0.2">
      <c r="A14" s="67" t="s">
        <v>251</v>
      </c>
    </row>
    <row r="15" spans="1:1" ht="15" x14ac:dyDescent="0.2">
      <c r="A15" s="63" t="s">
        <v>227</v>
      </c>
    </row>
    <row r="16" spans="1:1" ht="15" x14ac:dyDescent="0.2">
      <c r="A16" s="63" t="s">
        <v>228</v>
      </c>
    </row>
    <row r="17" spans="1:1" ht="15" x14ac:dyDescent="0.2">
      <c r="A17" s="63" t="s">
        <v>229</v>
      </c>
    </row>
    <row r="18" spans="1:1" ht="15" x14ac:dyDescent="0.2">
      <c r="A18" s="63" t="s">
        <v>230</v>
      </c>
    </row>
    <row r="19" spans="1:1" ht="15" x14ac:dyDescent="0.2">
      <c r="A19" s="67" t="s">
        <v>252</v>
      </c>
    </row>
    <row r="20" spans="1:1" ht="15" x14ac:dyDescent="0.2">
      <c r="A20" s="63" t="s">
        <v>231</v>
      </c>
    </row>
    <row r="21" spans="1:1" ht="16" x14ac:dyDescent="0.2">
      <c r="A21" s="43"/>
    </row>
    <row r="22" spans="1:1" ht="34" x14ac:dyDescent="0.2">
      <c r="A22" s="40" t="s">
        <v>64</v>
      </c>
    </row>
    <row r="23" spans="1:1" ht="15" x14ac:dyDescent="0.2">
      <c r="A23" s="62" t="s">
        <v>202</v>
      </c>
    </row>
    <row r="24" spans="1:1" ht="15" x14ac:dyDescent="0.2">
      <c r="A24" s="63" t="s">
        <v>204</v>
      </c>
    </row>
    <row r="25" spans="1:1" ht="15" x14ac:dyDescent="0.2">
      <c r="A25" s="63" t="s">
        <v>205</v>
      </c>
    </row>
    <row r="26" spans="1:1" ht="15" x14ac:dyDescent="0.2">
      <c r="A26" s="63" t="s">
        <v>206</v>
      </c>
    </row>
    <row r="27" spans="1:1" ht="15" x14ac:dyDescent="0.2">
      <c r="A27" s="63" t="s">
        <v>207</v>
      </c>
    </row>
    <row r="28" spans="1:1" ht="15" x14ac:dyDescent="0.2">
      <c r="A28" s="63" t="s">
        <v>208</v>
      </c>
    </row>
    <row r="29" spans="1:1" ht="15" x14ac:dyDescent="0.2">
      <c r="A29" s="63" t="s">
        <v>209</v>
      </c>
    </row>
    <row r="30" spans="1:1" ht="15" x14ac:dyDescent="0.2">
      <c r="A30" s="63" t="s">
        <v>210</v>
      </c>
    </row>
    <row r="31" spans="1:1" ht="15" x14ac:dyDescent="0.2">
      <c r="A31" s="68" t="s">
        <v>211</v>
      </c>
    </row>
    <row r="32" spans="1:1" ht="15" x14ac:dyDescent="0.2">
      <c r="A32" s="62" t="s">
        <v>35</v>
      </c>
    </row>
    <row r="33" spans="1:1" ht="15" x14ac:dyDescent="0.2">
      <c r="A33" s="63" t="s">
        <v>212</v>
      </c>
    </row>
    <row r="34" spans="1:1" ht="15" x14ac:dyDescent="0.2">
      <c r="A34" s="63" t="s">
        <v>213</v>
      </c>
    </row>
    <row r="35" spans="1:1" ht="15" x14ac:dyDescent="0.2">
      <c r="A35" s="63" t="s">
        <v>214</v>
      </c>
    </row>
    <row r="36" spans="1:1" ht="15" x14ac:dyDescent="0.2">
      <c r="A36" s="63" t="s">
        <v>215</v>
      </c>
    </row>
    <row r="37" spans="1:1" ht="15" x14ac:dyDescent="0.2">
      <c r="A37" s="63" t="s">
        <v>216</v>
      </c>
    </row>
    <row r="38" spans="1:1" ht="15" x14ac:dyDescent="0.2">
      <c r="A38" s="63" t="s">
        <v>217</v>
      </c>
    </row>
    <row r="39" spans="1:1" ht="15" x14ac:dyDescent="0.2">
      <c r="A39" s="62" t="s">
        <v>36</v>
      </c>
    </row>
    <row r="40" spans="1:1" ht="15" x14ac:dyDescent="0.2">
      <c r="A40" s="63" t="s">
        <v>218</v>
      </c>
    </row>
    <row r="41" spans="1:1" ht="15" x14ac:dyDescent="0.2">
      <c r="A41" s="63" t="s">
        <v>219</v>
      </c>
    </row>
    <row r="42" spans="1:1" ht="15" x14ac:dyDescent="0.2">
      <c r="A42" s="62" t="s">
        <v>1</v>
      </c>
    </row>
    <row r="43" spans="1:1" ht="15" x14ac:dyDescent="0.2">
      <c r="A43" s="63" t="s">
        <v>220</v>
      </c>
    </row>
    <row r="44" spans="1:1" ht="15" x14ac:dyDescent="0.2">
      <c r="A44" s="63" t="s">
        <v>221</v>
      </c>
    </row>
    <row r="45" spans="1:1" ht="15" x14ac:dyDescent="0.2">
      <c r="A45" s="62" t="s">
        <v>2</v>
      </c>
    </row>
    <row r="46" spans="1:1" ht="15" x14ac:dyDescent="0.2">
      <c r="A46" s="63" t="s">
        <v>222</v>
      </c>
    </row>
    <row r="47" spans="1:1" ht="15" x14ac:dyDescent="0.2">
      <c r="A47" s="63" t="s">
        <v>223</v>
      </c>
    </row>
    <row r="48" spans="1:1" ht="15" x14ac:dyDescent="0.2">
      <c r="A48" s="62" t="s">
        <v>3</v>
      </c>
    </row>
    <row r="49" spans="1:4" ht="15" x14ac:dyDescent="0.2">
      <c r="A49" s="63" t="s">
        <v>224</v>
      </c>
    </row>
    <row r="50" spans="1:4" ht="15" x14ac:dyDescent="0.2">
      <c r="A50" s="63" t="s">
        <v>225</v>
      </c>
    </row>
    <row r="51" spans="1:4" ht="15" x14ac:dyDescent="0.2">
      <c r="A51" s="62" t="s">
        <v>37</v>
      </c>
    </row>
    <row r="52" spans="1:4" ht="15" x14ac:dyDescent="0.2">
      <c r="A52" s="62" t="s">
        <v>40</v>
      </c>
    </row>
    <row r="53" spans="1:4" ht="15" x14ac:dyDescent="0.2">
      <c r="A53" s="62" t="s">
        <v>38</v>
      </c>
    </row>
    <row r="54" spans="1:4" ht="16" x14ac:dyDescent="0.2">
      <c r="A54" s="61"/>
    </row>
    <row r="55" spans="1:4" ht="68" x14ac:dyDescent="0.2">
      <c r="A55" s="69" t="s">
        <v>65</v>
      </c>
    </row>
    <row r="56" spans="1:4" ht="16" x14ac:dyDescent="0.2">
      <c r="A56" s="63" t="s">
        <v>142</v>
      </c>
      <c r="B56" s="42"/>
      <c r="C56" s="42"/>
      <c r="D56" s="42"/>
    </row>
    <row r="57" spans="1:4" ht="16" x14ac:dyDescent="0.2">
      <c r="A57" s="63" t="s">
        <v>160</v>
      </c>
      <c r="B57" s="42"/>
      <c r="C57" s="42"/>
      <c r="D57" s="42"/>
    </row>
    <row r="58" spans="1:4" ht="16" x14ac:dyDescent="0.2">
      <c r="A58" s="63" t="s">
        <v>33</v>
      </c>
      <c r="B58" s="42"/>
      <c r="C58" s="42"/>
      <c r="D58" s="42"/>
    </row>
    <row r="59" spans="1:4" ht="16" x14ac:dyDescent="0.2">
      <c r="A59" s="63" t="s">
        <v>149</v>
      </c>
      <c r="B59" s="42"/>
      <c r="C59" s="42"/>
      <c r="D59" s="42"/>
    </row>
    <row r="60" spans="1:4" ht="16" x14ac:dyDescent="0.2">
      <c r="A60" s="63" t="s">
        <v>14</v>
      </c>
      <c r="B60" s="42"/>
      <c r="C60" s="42"/>
      <c r="D60" s="42"/>
    </row>
    <row r="61" spans="1:4" ht="16" x14ac:dyDescent="0.2">
      <c r="A61" s="63" t="s">
        <v>20</v>
      </c>
      <c r="B61" s="42"/>
      <c r="C61" s="42"/>
      <c r="D61" s="42"/>
    </row>
    <row r="62" spans="1:4" ht="16" x14ac:dyDescent="0.2">
      <c r="A62" s="63" t="s">
        <v>203</v>
      </c>
      <c r="B62" s="42"/>
      <c r="C62" s="42"/>
      <c r="D62" s="42"/>
    </row>
    <row r="63" spans="1:4" ht="16" x14ac:dyDescent="0.2">
      <c r="A63" s="63" t="s">
        <v>151</v>
      </c>
      <c r="B63" s="42"/>
      <c r="C63" s="42"/>
      <c r="D63" s="42"/>
    </row>
    <row r="64" spans="1:4" ht="16" x14ac:dyDescent="0.2">
      <c r="A64" s="63" t="s">
        <v>152</v>
      </c>
      <c r="B64" s="42"/>
      <c r="C64" s="42"/>
      <c r="D64" s="42"/>
    </row>
    <row r="65" spans="1:4" ht="16" x14ac:dyDescent="0.2">
      <c r="A65" s="63" t="s">
        <v>153</v>
      </c>
      <c r="B65" s="42"/>
      <c r="C65" s="42"/>
      <c r="D65" s="42"/>
    </row>
    <row r="66" spans="1:4" ht="16" x14ac:dyDescent="0.2">
      <c r="A66" s="63" t="s">
        <v>154</v>
      </c>
      <c r="B66" s="42"/>
      <c r="C66" s="42"/>
      <c r="D66" s="42"/>
    </row>
    <row r="67" spans="1:4" ht="16" x14ac:dyDescent="0.2">
      <c r="A67" s="63" t="s">
        <v>173</v>
      </c>
      <c r="B67" s="42"/>
      <c r="C67" s="42"/>
      <c r="D67" s="42"/>
    </row>
    <row r="68" spans="1:4" ht="16" x14ac:dyDescent="0.2">
      <c r="A68" s="63" t="s">
        <v>150</v>
      </c>
      <c r="B68" s="42"/>
      <c r="C68" s="42"/>
      <c r="D68" s="42"/>
    </row>
    <row r="69" spans="1:4" ht="16" x14ac:dyDescent="0.2">
      <c r="A69" s="63" t="s">
        <v>159</v>
      </c>
      <c r="B69" s="42"/>
      <c r="C69" s="42"/>
      <c r="D69" s="42"/>
    </row>
    <row r="70" spans="1:4" ht="16" x14ac:dyDescent="0.2">
      <c r="A70" s="63" t="s">
        <v>129</v>
      </c>
      <c r="B70" s="42"/>
      <c r="C70" s="42"/>
      <c r="D70" s="42"/>
    </row>
    <row r="71" spans="1:4" ht="16" x14ac:dyDescent="0.2">
      <c r="A71" s="42"/>
    </row>
    <row r="73" spans="1:4" ht="51" x14ac:dyDescent="0.2">
      <c r="A73" s="60" t="s">
        <v>201</v>
      </c>
    </row>
  </sheetData>
  <sheetProtection selectLockedCells="1" selectUnlockedCells="1"/>
  <customSheetViews>
    <customSheetView guid="{58DA6C7F-C6B8-49ED-B93B-E4C5313499FE}" hiddenRows="1" hiddenColumns="1" topLeftCell="A34">
      <selection activeCell="A54" sqref="A54:XFD104857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BI233"/>
  <sheetViews>
    <sheetView tabSelected="1" topLeftCell="A139" zoomScale="120" zoomScaleNormal="120" workbookViewId="0">
      <selection activeCell="K140" sqref="K140:L140"/>
    </sheetView>
  </sheetViews>
  <sheetFormatPr baseColWidth="10" defaultColWidth="0" defaultRowHeight="14" zeroHeight="1" x14ac:dyDescent="0.2"/>
  <cols>
    <col min="1" max="1" width="2.3984375" customWidth="1"/>
    <col min="2" max="3" width="9" customWidth="1"/>
    <col min="4" max="4" width="14.3984375" customWidth="1"/>
    <col min="5" max="5" width="12.19921875" customWidth="1"/>
    <col min="6" max="6" width="21.3984375" customWidth="1"/>
    <col min="7" max="7" width="7.796875" customWidth="1"/>
    <col min="8" max="12" width="6.59765625" customWidth="1"/>
    <col min="13" max="13" width="5.3984375" customWidth="1"/>
    <col min="14" max="19" width="6.796875" customWidth="1"/>
    <col min="20" max="20" width="4.796875" customWidth="1"/>
    <col min="21" max="25" width="6.59765625" customWidth="1"/>
    <col min="26" max="26" width="6.19921875" customWidth="1"/>
    <col min="27" max="27" width="1.59765625" customWidth="1"/>
    <col min="28" max="34" width="0" style="30" hidden="1" customWidth="1"/>
    <col min="35" max="35" width="8.796875" style="30" hidden="1" customWidth="1"/>
    <col min="36" max="42" width="0" style="30" hidden="1" customWidth="1"/>
    <col min="43" max="43" width="8.796875" style="30" hidden="1" customWidth="1"/>
    <col min="44" max="61" width="0" style="30" hidden="1" customWidth="1"/>
    <col min="62" max="16384" width="5" style="30" hidden="1"/>
  </cols>
  <sheetData>
    <row r="1" spans="1:27" ht="12.75" customHeight="1" x14ac:dyDescent="0.2">
      <c r="A1" s="71" t="s">
        <v>274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 t="s">
        <v>273</v>
      </c>
      <c r="U1" s="72"/>
      <c r="V1" s="72"/>
      <c r="W1" s="72"/>
      <c r="X1" s="72"/>
      <c r="Y1" s="72"/>
      <c r="Z1" s="72"/>
      <c r="AA1" s="72"/>
    </row>
    <row r="2" spans="1:27" ht="25.5" customHeight="1" thickBot="1" x14ac:dyDescent="0.25">
      <c r="A2" s="73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</row>
    <row r="3" spans="1:27" ht="9" customHeight="1" x14ac:dyDescent="0.2">
      <c r="A3" s="12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s="4" customFormat="1" ht="14.25" customHeight="1" x14ac:dyDescent="0.15">
      <c r="A4" s="12"/>
      <c r="B4" s="115" t="s">
        <v>244</v>
      </c>
      <c r="C4" s="115"/>
      <c r="D4" s="115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5"/>
    </row>
    <row r="5" spans="1:27" ht="6" customHeight="1" x14ac:dyDescent="0.2">
      <c r="A5" s="1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2.75" customHeight="1" x14ac:dyDescent="0.2">
      <c r="A6" s="12"/>
      <c r="B6" s="115" t="s">
        <v>245</v>
      </c>
      <c r="C6" s="115"/>
      <c r="D6" s="115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5"/>
    </row>
    <row r="7" spans="1:27" ht="6" customHeight="1" x14ac:dyDescent="0.2">
      <c r="A7" s="12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27.75" customHeight="1" thickBot="1" x14ac:dyDescent="0.25">
      <c r="A8" s="12"/>
      <c r="B8" s="24"/>
      <c r="C8" s="24"/>
      <c r="D8" s="24"/>
      <c r="E8" s="24"/>
      <c r="F8" s="24"/>
      <c r="G8" s="96" t="s">
        <v>4</v>
      </c>
      <c r="H8" s="96"/>
      <c r="I8" s="96"/>
      <c r="J8" s="96"/>
      <c r="K8" s="96"/>
      <c r="L8" s="96"/>
      <c r="M8" s="24"/>
      <c r="N8" s="96" t="s">
        <v>56</v>
      </c>
      <c r="O8" s="96"/>
      <c r="P8" s="96"/>
      <c r="Q8" s="96"/>
      <c r="R8" s="96"/>
      <c r="S8" s="96"/>
      <c r="T8" s="24"/>
      <c r="U8" s="96" t="s">
        <v>50</v>
      </c>
      <c r="V8" s="96"/>
      <c r="W8" s="96"/>
      <c r="X8" s="96"/>
      <c r="Y8" s="96"/>
      <c r="Z8" s="96"/>
      <c r="AA8" s="5"/>
    </row>
    <row r="9" spans="1:27" ht="15" thickTop="1" x14ac:dyDescent="0.2">
      <c r="A9" s="12"/>
      <c r="B9" s="114" t="s">
        <v>5</v>
      </c>
      <c r="C9" s="114"/>
      <c r="D9" s="114"/>
      <c r="E9" s="114"/>
      <c r="F9" s="20"/>
      <c r="G9" s="52" t="s">
        <v>137</v>
      </c>
      <c r="H9" s="52" t="s">
        <v>137</v>
      </c>
      <c r="I9" s="52" t="s">
        <v>137</v>
      </c>
      <c r="J9" s="52" t="s">
        <v>26</v>
      </c>
      <c r="K9" s="52" t="s">
        <v>26</v>
      </c>
      <c r="L9" s="52" t="s">
        <v>26</v>
      </c>
      <c r="M9" s="5"/>
      <c r="N9" s="52" t="s">
        <v>137</v>
      </c>
      <c r="O9" s="52" t="s">
        <v>137</v>
      </c>
      <c r="P9" s="52" t="s">
        <v>137</v>
      </c>
      <c r="Q9" s="52" t="s">
        <v>26</v>
      </c>
      <c r="R9" s="52" t="s">
        <v>26</v>
      </c>
      <c r="S9" s="52" t="s">
        <v>26</v>
      </c>
      <c r="T9" s="5"/>
      <c r="U9" s="52" t="s">
        <v>137</v>
      </c>
      <c r="V9" s="52" t="s">
        <v>137</v>
      </c>
      <c r="W9" s="52" t="s">
        <v>137</v>
      </c>
      <c r="X9" s="52" t="s">
        <v>26</v>
      </c>
      <c r="Y9" s="52" t="s">
        <v>26</v>
      </c>
      <c r="Z9" s="52" t="s">
        <v>26</v>
      </c>
      <c r="AA9" s="5"/>
    </row>
    <row r="10" spans="1:27" s="55" customFormat="1" ht="19.5" customHeight="1" x14ac:dyDescent="0.2">
      <c r="A10" s="12"/>
      <c r="B10" s="111" t="s">
        <v>25</v>
      </c>
      <c r="C10" s="112"/>
      <c r="D10" s="112"/>
      <c r="E10" s="113"/>
      <c r="F10" s="21"/>
      <c r="G10" s="13">
        <v>2025</v>
      </c>
      <c r="H10" s="13" t="s">
        <v>262</v>
      </c>
      <c r="I10" s="13" t="s">
        <v>263</v>
      </c>
      <c r="J10" s="13" t="s">
        <v>264</v>
      </c>
      <c r="K10" s="13" t="s">
        <v>265</v>
      </c>
      <c r="L10" s="13">
        <v>2026</v>
      </c>
      <c r="M10" s="25"/>
      <c r="N10" s="13">
        <v>2025</v>
      </c>
      <c r="O10" s="13" t="s">
        <v>262</v>
      </c>
      <c r="P10" s="13" t="s">
        <v>263</v>
      </c>
      <c r="Q10" s="13" t="s">
        <v>264</v>
      </c>
      <c r="R10" s="13" t="s">
        <v>265</v>
      </c>
      <c r="S10" s="13">
        <v>2026</v>
      </c>
      <c r="T10" s="25"/>
      <c r="U10" s="13">
        <v>2025</v>
      </c>
      <c r="V10" s="13" t="s">
        <v>262</v>
      </c>
      <c r="W10" s="13" t="s">
        <v>263</v>
      </c>
      <c r="X10" s="13" t="s">
        <v>264</v>
      </c>
      <c r="Y10" s="13" t="s">
        <v>265</v>
      </c>
      <c r="Z10" s="13">
        <v>2026</v>
      </c>
    </row>
    <row r="11" spans="1:27" s="55" customFormat="1" ht="14.25" customHeight="1" x14ac:dyDescent="0.2">
      <c r="A11" s="12"/>
      <c r="B11" s="75" t="s">
        <v>7</v>
      </c>
      <c r="C11" s="76"/>
      <c r="D11" s="76"/>
      <c r="E11" s="77"/>
      <c r="F11" s="27"/>
      <c r="G11" s="29" t="str">
        <f t="shared" ref="G11:L11" si="0">IF(G36&gt;0,G36,"")</f>
        <v/>
      </c>
      <c r="H11" s="29" t="str">
        <f t="shared" si="0"/>
        <v/>
      </c>
      <c r="I11" s="29" t="str">
        <f t="shared" si="0"/>
        <v/>
      </c>
      <c r="J11" s="29" t="str">
        <f t="shared" si="0"/>
        <v/>
      </c>
      <c r="K11" s="29" t="str">
        <f t="shared" si="0"/>
        <v/>
      </c>
      <c r="L11" s="29">
        <f t="shared" si="0"/>
        <v>2040</v>
      </c>
      <c r="M11" s="25"/>
      <c r="N11" s="31" t="str">
        <f t="shared" ref="N11:O16" si="1">IFERROR(G11/G$17,"")</f>
        <v/>
      </c>
      <c r="O11" s="31" t="str">
        <f t="shared" si="1"/>
        <v/>
      </c>
      <c r="P11" s="31" t="str">
        <f>IFERROR(I11/I$17,"")</f>
        <v/>
      </c>
      <c r="Q11" s="31" t="str">
        <f t="shared" ref="Q11:Q16" si="2">IFERROR(J11/J$17,"")</f>
        <v/>
      </c>
      <c r="R11" s="31" t="str">
        <f t="shared" ref="R11:R16" si="3">IFERROR(K11/K$17,"")</f>
        <v/>
      </c>
      <c r="S11" s="31">
        <f t="shared" ref="S11:S16" si="4">IFERROR(L11/L$17,"")</f>
        <v>0.58603849468543523</v>
      </c>
      <c r="T11" s="25"/>
      <c r="U11" s="54"/>
      <c r="V11" s="54"/>
      <c r="W11" s="54"/>
      <c r="X11" s="64"/>
      <c r="Y11" s="64"/>
      <c r="Z11" s="54"/>
    </row>
    <row r="12" spans="1:27" s="55" customFormat="1" ht="14.25" customHeight="1" x14ac:dyDescent="0.2">
      <c r="A12" s="12"/>
      <c r="B12" s="75" t="s">
        <v>8</v>
      </c>
      <c r="C12" s="76"/>
      <c r="D12" s="76"/>
      <c r="E12" s="77"/>
      <c r="F12" s="27"/>
      <c r="G12" s="29" t="str">
        <f t="shared" ref="G12:L12" si="5">IF(G59&gt;0,G59,"")</f>
        <v/>
      </c>
      <c r="H12" s="29" t="str">
        <f t="shared" si="5"/>
        <v/>
      </c>
      <c r="I12" s="29" t="str">
        <f t="shared" si="5"/>
        <v/>
      </c>
      <c r="J12" s="29" t="str">
        <f t="shared" si="5"/>
        <v/>
      </c>
      <c r="K12" s="29" t="str">
        <f t="shared" si="5"/>
        <v/>
      </c>
      <c r="L12" s="29">
        <f t="shared" si="5"/>
        <v>90</v>
      </c>
      <c r="M12" s="25"/>
      <c r="N12" s="31" t="str">
        <f t="shared" si="1"/>
        <v/>
      </c>
      <c r="O12" s="31" t="str">
        <f t="shared" si="1"/>
        <v/>
      </c>
      <c r="P12" s="31" t="str">
        <f t="shared" ref="P12:P16" si="6">IFERROR(I12/I$17,"")</f>
        <v/>
      </c>
      <c r="Q12" s="31" t="str">
        <f t="shared" si="2"/>
        <v/>
      </c>
      <c r="R12" s="31" t="str">
        <f t="shared" si="3"/>
        <v/>
      </c>
      <c r="S12" s="31">
        <f t="shared" si="4"/>
        <v>2.5854639471416259E-2</v>
      </c>
      <c r="T12" s="25"/>
      <c r="U12" s="54"/>
      <c r="V12" s="54"/>
      <c r="W12" s="54"/>
      <c r="X12" s="64"/>
      <c r="Y12" s="64"/>
      <c r="Z12" s="54"/>
    </row>
    <row r="13" spans="1:27" s="55" customFormat="1" ht="14.25" customHeight="1" x14ac:dyDescent="0.2">
      <c r="A13" s="12"/>
      <c r="B13" s="75" t="s">
        <v>9</v>
      </c>
      <c r="C13" s="76"/>
      <c r="D13" s="76"/>
      <c r="E13" s="77"/>
      <c r="F13" s="27"/>
      <c r="G13" s="29" t="str">
        <f t="shared" ref="G13:L13" si="7">IF(G82&gt;0,G82,"")</f>
        <v/>
      </c>
      <c r="H13" s="29" t="str">
        <f t="shared" si="7"/>
        <v/>
      </c>
      <c r="I13" s="29" t="str">
        <f t="shared" si="7"/>
        <v/>
      </c>
      <c r="J13" s="29" t="str">
        <f t="shared" si="7"/>
        <v/>
      </c>
      <c r="K13" s="29" t="str">
        <f t="shared" si="7"/>
        <v/>
      </c>
      <c r="L13" s="29">
        <f t="shared" si="7"/>
        <v>509</v>
      </c>
      <c r="M13" s="25"/>
      <c r="N13" s="31" t="str">
        <f t="shared" si="1"/>
        <v/>
      </c>
      <c r="O13" s="31" t="str">
        <f t="shared" si="1"/>
        <v/>
      </c>
      <c r="P13" s="31" t="str">
        <f t="shared" si="6"/>
        <v/>
      </c>
      <c r="Q13" s="31" t="str">
        <f t="shared" si="2"/>
        <v/>
      </c>
      <c r="R13" s="31" t="str">
        <f t="shared" si="3"/>
        <v/>
      </c>
      <c r="S13" s="31">
        <f t="shared" si="4"/>
        <v>0.14622234989945418</v>
      </c>
      <c r="T13" s="25"/>
      <c r="U13" s="54"/>
      <c r="V13" s="54"/>
      <c r="W13" s="54"/>
      <c r="X13" s="64"/>
      <c r="Y13" s="64"/>
      <c r="Z13" s="54"/>
    </row>
    <row r="14" spans="1:27" s="55" customFormat="1" ht="14.25" customHeight="1" x14ac:dyDescent="0.2">
      <c r="A14" s="12"/>
      <c r="B14" s="15" t="s">
        <v>188</v>
      </c>
      <c r="C14" s="16"/>
      <c r="D14" s="16"/>
      <c r="E14" s="17"/>
      <c r="F14" s="28"/>
      <c r="G14" s="29" t="str">
        <f t="shared" ref="G14:L14" si="8">IF(G95&gt;0,G95,"")</f>
        <v/>
      </c>
      <c r="H14" s="29" t="str">
        <f t="shared" si="8"/>
        <v/>
      </c>
      <c r="I14" s="29" t="str">
        <f t="shared" si="8"/>
        <v/>
      </c>
      <c r="J14" s="29" t="str">
        <f t="shared" si="8"/>
        <v/>
      </c>
      <c r="K14" s="29" t="str">
        <f t="shared" si="8"/>
        <v/>
      </c>
      <c r="L14" s="29">
        <f t="shared" si="8"/>
        <v>402</v>
      </c>
      <c r="M14" s="25"/>
      <c r="N14" s="31" t="str">
        <f t="shared" si="1"/>
        <v/>
      </c>
      <c r="O14" s="31" t="str">
        <f t="shared" si="1"/>
        <v/>
      </c>
      <c r="P14" s="31" t="str">
        <f t="shared" si="6"/>
        <v/>
      </c>
      <c r="Q14" s="31" t="str">
        <f t="shared" si="2"/>
        <v/>
      </c>
      <c r="R14" s="31" t="str">
        <f t="shared" si="3"/>
        <v/>
      </c>
      <c r="S14" s="31">
        <f t="shared" si="4"/>
        <v>0.11548405630565929</v>
      </c>
      <c r="T14" s="25"/>
      <c r="U14" s="54"/>
      <c r="V14" s="54"/>
      <c r="W14" s="54"/>
      <c r="X14" s="64"/>
      <c r="Y14" s="64"/>
      <c r="Z14" s="54"/>
    </row>
    <row r="15" spans="1:27" s="55" customFormat="1" ht="14.25" customHeight="1" x14ac:dyDescent="0.2">
      <c r="A15" s="12"/>
      <c r="B15" s="15" t="s">
        <v>191</v>
      </c>
      <c r="C15" s="16"/>
      <c r="D15" s="16"/>
      <c r="E15" s="17"/>
      <c r="F15" s="28"/>
      <c r="G15" s="29" t="str">
        <f t="shared" ref="G15:L15" si="9">IF(G106&gt;0,G106,"")</f>
        <v/>
      </c>
      <c r="H15" s="29" t="str">
        <f t="shared" si="9"/>
        <v/>
      </c>
      <c r="I15" s="29" t="str">
        <f t="shared" si="9"/>
        <v/>
      </c>
      <c r="J15" s="29" t="str">
        <f t="shared" si="9"/>
        <v/>
      </c>
      <c r="K15" s="29" t="str">
        <f t="shared" si="9"/>
        <v/>
      </c>
      <c r="L15" s="29">
        <f t="shared" si="9"/>
        <v>160</v>
      </c>
      <c r="M15" s="25"/>
      <c r="N15" s="31" t="str">
        <f t="shared" si="1"/>
        <v/>
      </c>
      <c r="O15" s="31" t="str">
        <f t="shared" si="1"/>
        <v/>
      </c>
      <c r="P15" s="31" t="str">
        <f t="shared" si="6"/>
        <v/>
      </c>
      <c r="Q15" s="31" t="str">
        <f t="shared" si="2"/>
        <v/>
      </c>
      <c r="R15" s="31" t="str">
        <f t="shared" si="3"/>
        <v/>
      </c>
      <c r="S15" s="31">
        <f t="shared" si="4"/>
        <v>4.5963803504740018E-2</v>
      </c>
      <c r="T15" s="25"/>
      <c r="U15" s="54"/>
      <c r="V15" s="54"/>
      <c r="W15" s="54"/>
      <c r="X15" s="64"/>
      <c r="Y15" s="64"/>
      <c r="Z15" s="54"/>
    </row>
    <row r="16" spans="1:27" s="55" customFormat="1" ht="14.25" customHeight="1" x14ac:dyDescent="0.2">
      <c r="A16" s="12"/>
      <c r="B16" s="75" t="s">
        <v>54</v>
      </c>
      <c r="C16" s="76"/>
      <c r="D16" s="76"/>
      <c r="E16" s="77"/>
      <c r="F16" s="28"/>
      <c r="G16" s="29" t="str">
        <f t="shared" ref="G16:L16" si="10">IF(G118&gt;0,G118,"")</f>
        <v/>
      </c>
      <c r="H16" s="29" t="str">
        <f t="shared" si="10"/>
        <v/>
      </c>
      <c r="I16" s="29" t="str">
        <f t="shared" si="10"/>
        <v/>
      </c>
      <c r="J16" s="29" t="str">
        <f t="shared" si="10"/>
        <v/>
      </c>
      <c r="K16" s="29" t="str">
        <f t="shared" si="10"/>
        <v/>
      </c>
      <c r="L16" s="29">
        <f t="shared" si="10"/>
        <v>280</v>
      </c>
      <c r="M16" s="25"/>
      <c r="N16" s="31" t="str">
        <f t="shared" si="1"/>
        <v/>
      </c>
      <c r="O16" s="31" t="str">
        <f t="shared" si="1"/>
        <v/>
      </c>
      <c r="P16" s="31" t="str">
        <f t="shared" si="6"/>
        <v/>
      </c>
      <c r="Q16" s="31" t="str">
        <f t="shared" si="2"/>
        <v/>
      </c>
      <c r="R16" s="31" t="str">
        <f t="shared" si="3"/>
        <v/>
      </c>
      <c r="S16" s="31">
        <f t="shared" si="4"/>
        <v>8.0436656133295037E-2</v>
      </c>
      <c r="T16" s="25"/>
      <c r="U16" s="54"/>
      <c r="V16" s="54"/>
      <c r="W16" s="54"/>
      <c r="X16" s="64"/>
      <c r="Y16" s="64"/>
      <c r="Z16" s="54"/>
    </row>
    <row r="17" spans="1:26" s="55" customFormat="1" ht="14.25" customHeight="1" x14ac:dyDescent="0.2">
      <c r="A17" s="12"/>
      <c r="B17" s="119" t="s">
        <v>192</v>
      </c>
      <c r="C17" s="119"/>
      <c r="D17" s="119"/>
      <c r="E17" s="119"/>
      <c r="F17" s="22"/>
      <c r="G17" s="53">
        <f t="shared" ref="G17:L17" si="11">SUM(G11:G16)</f>
        <v>0</v>
      </c>
      <c r="H17" s="53">
        <f t="shared" si="11"/>
        <v>0</v>
      </c>
      <c r="I17" s="53">
        <f t="shared" si="11"/>
        <v>0</v>
      </c>
      <c r="J17" s="53">
        <f t="shared" si="11"/>
        <v>0</v>
      </c>
      <c r="K17" s="53">
        <f t="shared" si="11"/>
        <v>0</v>
      </c>
      <c r="L17" s="53">
        <f t="shared" si="11"/>
        <v>3481</v>
      </c>
      <c r="M17" s="25"/>
      <c r="N17" s="57">
        <f t="shared" ref="N17:S17" si="12">SUM(N11:N16)</f>
        <v>0</v>
      </c>
      <c r="O17" s="57">
        <f t="shared" si="12"/>
        <v>0</v>
      </c>
      <c r="P17" s="57">
        <f t="shared" si="12"/>
        <v>0</v>
      </c>
      <c r="Q17" s="57">
        <f t="shared" si="12"/>
        <v>0</v>
      </c>
      <c r="R17" s="57">
        <f t="shared" si="12"/>
        <v>0</v>
      </c>
      <c r="S17" s="57">
        <f t="shared" si="12"/>
        <v>1</v>
      </c>
      <c r="T17" s="25"/>
      <c r="U17" s="54"/>
      <c r="V17" s="54"/>
      <c r="W17" s="54"/>
      <c r="X17" s="64"/>
      <c r="Y17" s="64"/>
      <c r="Z17" s="54"/>
    </row>
    <row r="18" spans="1:26" s="55" customFormat="1" ht="14.25" customHeight="1" x14ac:dyDescent="0.2">
      <c r="A18" s="12"/>
      <c r="B18" s="95" t="s">
        <v>6</v>
      </c>
      <c r="C18" s="95"/>
      <c r="D18" s="95"/>
      <c r="E18" s="95"/>
      <c r="F18" s="20"/>
      <c r="G18" s="52" t="s">
        <v>137</v>
      </c>
      <c r="H18" s="52" t="s">
        <v>137</v>
      </c>
      <c r="I18" s="52" t="s">
        <v>137</v>
      </c>
      <c r="J18" s="52" t="s">
        <v>26</v>
      </c>
      <c r="K18" s="52" t="s">
        <v>26</v>
      </c>
      <c r="L18" s="52" t="s">
        <v>26</v>
      </c>
      <c r="M18" s="56"/>
      <c r="N18" s="52" t="s">
        <v>137</v>
      </c>
      <c r="O18" s="52" t="s">
        <v>137</v>
      </c>
      <c r="P18" s="52" t="s">
        <v>137</v>
      </c>
      <c r="Q18" s="52" t="s">
        <v>26</v>
      </c>
      <c r="R18" s="52" t="s">
        <v>26</v>
      </c>
      <c r="S18" s="52" t="s">
        <v>26</v>
      </c>
      <c r="T18" s="5"/>
      <c r="U18" s="52" t="s">
        <v>137</v>
      </c>
      <c r="V18" s="52" t="s">
        <v>137</v>
      </c>
      <c r="W18" s="52" t="s">
        <v>137</v>
      </c>
      <c r="X18" s="52" t="s">
        <v>26</v>
      </c>
      <c r="Y18" s="52" t="s">
        <v>26</v>
      </c>
      <c r="Z18" s="52" t="s">
        <v>26</v>
      </c>
    </row>
    <row r="19" spans="1:26" s="55" customFormat="1" ht="14.25" customHeight="1" x14ac:dyDescent="0.2">
      <c r="A19" s="12"/>
      <c r="B19" s="78" t="s">
        <v>51</v>
      </c>
      <c r="C19" s="79"/>
      <c r="D19" s="79"/>
      <c r="E19" s="80"/>
      <c r="F19" s="21" t="s">
        <v>47</v>
      </c>
      <c r="G19" s="13">
        <v>2025</v>
      </c>
      <c r="H19" s="13" t="s">
        <v>262</v>
      </c>
      <c r="I19" s="13" t="s">
        <v>263</v>
      </c>
      <c r="J19" s="13" t="s">
        <v>264</v>
      </c>
      <c r="K19" s="13" t="s">
        <v>265</v>
      </c>
      <c r="L19" s="13">
        <v>2026</v>
      </c>
      <c r="M19" s="5"/>
      <c r="N19" s="13">
        <v>2025</v>
      </c>
      <c r="O19" s="13" t="s">
        <v>262</v>
      </c>
      <c r="P19" s="13" t="s">
        <v>263</v>
      </c>
      <c r="Q19" s="13" t="s">
        <v>264</v>
      </c>
      <c r="R19" s="13" t="s">
        <v>265</v>
      </c>
      <c r="S19" s="13">
        <v>2026</v>
      </c>
      <c r="T19" s="5"/>
      <c r="U19" s="13">
        <v>2025</v>
      </c>
      <c r="V19" s="13" t="s">
        <v>262</v>
      </c>
      <c r="W19" s="13" t="s">
        <v>263</v>
      </c>
      <c r="X19" s="13" t="s">
        <v>264</v>
      </c>
      <c r="Y19" s="13" t="s">
        <v>265</v>
      </c>
      <c r="Z19" s="13">
        <v>2026</v>
      </c>
    </row>
    <row r="20" spans="1:26" s="55" customFormat="1" ht="14.25" customHeight="1" x14ac:dyDescent="0.2">
      <c r="A20" s="12"/>
      <c r="B20" s="75" t="s">
        <v>135</v>
      </c>
      <c r="C20" s="76"/>
      <c r="D20" s="76"/>
      <c r="E20" s="77"/>
      <c r="F20" s="34"/>
      <c r="G20" s="3"/>
      <c r="H20" s="3"/>
      <c r="I20" s="3"/>
      <c r="J20" s="66"/>
      <c r="K20" s="66"/>
      <c r="L20" s="3">
        <v>900</v>
      </c>
      <c r="M20" s="36"/>
      <c r="N20" s="26" t="str">
        <f t="shared" ref="N20:N31" si="13">IFERROR(G20/G$36,"")</f>
        <v/>
      </c>
      <c r="O20" s="26" t="str">
        <f t="shared" ref="O20:O31" si="14">IFERROR(H20/H$36,"")</f>
        <v/>
      </c>
      <c r="P20" s="26" t="str">
        <f t="shared" ref="P20:P31" si="15">IFERROR(I20/I$36,"")</f>
        <v/>
      </c>
      <c r="Q20" s="26" t="str">
        <f t="shared" ref="Q20:Q31" si="16">IFERROR(J20/J$36,"")</f>
        <v/>
      </c>
      <c r="R20" s="26" t="str">
        <f t="shared" ref="R20:R31" si="17">IFERROR(K20/K$36,"")</f>
        <v/>
      </c>
      <c r="S20" s="26">
        <f t="shared" ref="S20:S31" si="18">IFERROR(L20/L$36,"")</f>
        <v>0.44117647058823528</v>
      </c>
      <c r="T20" s="36"/>
      <c r="U20" s="2"/>
      <c r="V20" s="2"/>
      <c r="W20" s="2"/>
      <c r="X20" s="65"/>
      <c r="Y20" s="65"/>
      <c r="Z20" s="2"/>
    </row>
    <row r="21" spans="1:26" s="55" customFormat="1" ht="14.25" customHeight="1" x14ac:dyDescent="0.2">
      <c r="A21" s="12"/>
      <c r="B21" s="75" t="s">
        <v>242</v>
      </c>
      <c r="C21" s="76"/>
      <c r="D21" s="76"/>
      <c r="E21" s="77"/>
      <c r="F21" s="34"/>
      <c r="G21" s="3"/>
      <c r="H21" s="3"/>
      <c r="I21" s="3"/>
      <c r="J21" s="66"/>
      <c r="K21" s="66"/>
      <c r="L21" s="3">
        <v>120</v>
      </c>
      <c r="M21" s="36"/>
      <c r="N21" s="26" t="str">
        <f t="shared" si="13"/>
        <v/>
      </c>
      <c r="O21" s="26" t="str">
        <f t="shared" si="14"/>
        <v/>
      </c>
      <c r="P21" s="26" t="str">
        <f t="shared" si="15"/>
        <v/>
      </c>
      <c r="Q21" s="26" t="str">
        <f t="shared" si="16"/>
        <v/>
      </c>
      <c r="R21" s="26" t="str">
        <f t="shared" si="17"/>
        <v/>
      </c>
      <c r="S21" s="26">
        <f t="shared" si="18"/>
        <v>5.8823529411764705E-2</v>
      </c>
      <c r="T21" s="36"/>
      <c r="U21" s="2"/>
      <c r="V21" s="2"/>
      <c r="W21" s="2"/>
      <c r="X21" s="65"/>
      <c r="Y21" s="65"/>
      <c r="Z21" s="2"/>
    </row>
    <row r="22" spans="1:26" s="55" customFormat="1" ht="14.25" customHeight="1" x14ac:dyDescent="0.2">
      <c r="A22" s="12"/>
      <c r="B22" s="75" t="s">
        <v>126</v>
      </c>
      <c r="C22" s="76"/>
      <c r="D22" s="76"/>
      <c r="E22" s="77"/>
      <c r="F22" s="34"/>
      <c r="G22" s="3"/>
      <c r="H22" s="3"/>
      <c r="I22" s="3"/>
      <c r="J22" s="66"/>
      <c r="K22" s="66"/>
      <c r="L22" s="3">
        <v>80</v>
      </c>
      <c r="M22" s="36"/>
      <c r="N22" s="26" t="str">
        <f t="shared" si="13"/>
        <v/>
      </c>
      <c r="O22" s="26" t="str">
        <f t="shared" si="14"/>
        <v/>
      </c>
      <c r="P22" s="26" t="str">
        <f t="shared" si="15"/>
        <v/>
      </c>
      <c r="Q22" s="26" t="str">
        <f t="shared" si="16"/>
        <v/>
      </c>
      <c r="R22" s="26" t="str">
        <f t="shared" si="17"/>
        <v/>
      </c>
      <c r="S22" s="26">
        <f t="shared" si="18"/>
        <v>3.9215686274509803E-2</v>
      </c>
      <c r="T22" s="36"/>
      <c r="U22" s="2"/>
      <c r="V22" s="2"/>
      <c r="W22" s="2"/>
      <c r="X22" s="65"/>
      <c r="Y22" s="65"/>
      <c r="Z22" s="2"/>
    </row>
    <row r="23" spans="1:26" s="55" customFormat="1" ht="14.25" customHeight="1" x14ac:dyDescent="0.2">
      <c r="A23" s="12"/>
      <c r="B23" s="75" t="s">
        <v>55</v>
      </c>
      <c r="C23" s="76"/>
      <c r="D23" s="76"/>
      <c r="E23" s="77"/>
      <c r="F23" s="34"/>
      <c r="G23" s="3"/>
      <c r="H23" s="3"/>
      <c r="I23" s="3"/>
      <c r="J23" s="66"/>
      <c r="K23" s="66"/>
      <c r="L23" s="3">
        <v>280</v>
      </c>
      <c r="M23" s="36"/>
      <c r="N23" s="26" t="str">
        <f t="shared" si="13"/>
        <v/>
      </c>
      <c r="O23" s="26" t="str">
        <f t="shared" si="14"/>
        <v/>
      </c>
      <c r="P23" s="26" t="str">
        <f t="shared" si="15"/>
        <v/>
      </c>
      <c r="Q23" s="26" t="str">
        <f t="shared" si="16"/>
        <v/>
      </c>
      <c r="R23" s="26" t="str">
        <f t="shared" si="17"/>
        <v/>
      </c>
      <c r="S23" s="26">
        <f t="shared" si="18"/>
        <v>0.13725490196078433</v>
      </c>
      <c r="T23" s="36"/>
      <c r="U23" s="2"/>
      <c r="V23" s="2"/>
      <c r="W23" s="2"/>
      <c r="X23" s="65"/>
      <c r="Y23" s="65"/>
      <c r="Z23" s="2"/>
    </row>
    <row r="24" spans="1:26" s="55" customFormat="1" ht="14.25" customHeight="1" x14ac:dyDescent="0.2">
      <c r="A24" s="12"/>
      <c r="B24" s="75" t="s">
        <v>141</v>
      </c>
      <c r="C24" s="76"/>
      <c r="D24" s="76"/>
      <c r="E24" s="77"/>
      <c r="F24" s="34"/>
      <c r="G24" s="3"/>
      <c r="H24" s="3"/>
      <c r="I24" s="3"/>
      <c r="J24" s="66"/>
      <c r="K24" s="66"/>
      <c r="L24" s="3">
        <v>100</v>
      </c>
      <c r="M24" s="36"/>
      <c r="N24" s="26" t="str">
        <f t="shared" si="13"/>
        <v/>
      </c>
      <c r="O24" s="26" t="str">
        <f t="shared" si="14"/>
        <v/>
      </c>
      <c r="P24" s="26" t="str">
        <f t="shared" si="15"/>
        <v/>
      </c>
      <c r="Q24" s="26" t="str">
        <f t="shared" si="16"/>
        <v/>
      </c>
      <c r="R24" s="26" t="str">
        <f t="shared" si="17"/>
        <v/>
      </c>
      <c r="S24" s="26">
        <f t="shared" si="18"/>
        <v>4.9019607843137254E-2</v>
      </c>
      <c r="T24" s="36"/>
      <c r="U24" s="2"/>
      <c r="V24" s="2"/>
      <c r="W24" s="2"/>
      <c r="X24" s="65"/>
      <c r="Y24" s="65"/>
      <c r="Z24" s="2"/>
    </row>
    <row r="25" spans="1:26" s="55" customFormat="1" ht="14.25" customHeight="1" x14ac:dyDescent="0.2">
      <c r="A25" s="12"/>
      <c r="B25" s="75" t="s">
        <v>243</v>
      </c>
      <c r="C25" s="76"/>
      <c r="D25" s="76"/>
      <c r="E25" s="77"/>
      <c r="F25" s="34"/>
      <c r="G25" s="3"/>
      <c r="H25" s="3"/>
      <c r="I25" s="3"/>
      <c r="J25" s="66"/>
      <c r="K25" s="66"/>
      <c r="L25" s="3">
        <v>50</v>
      </c>
      <c r="M25" s="36"/>
      <c r="N25" s="26" t="str">
        <f t="shared" si="13"/>
        <v/>
      </c>
      <c r="O25" s="26" t="str">
        <f t="shared" si="14"/>
        <v/>
      </c>
      <c r="P25" s="26" t="str">
        <f t="shared" si="15"/>
        <v/>
      </c>
      <c r="Q25" s="26" t="str">
        <f t="shared" si="16"/>
        <v/>
      </c>
      <c r="R25" s="26" t="str">
        <f t="shared" si="17"/>
        <v/>
      </c>
      <c r="S25" s="26">
        <f t="shared" si="18"/>
        <v>2.4509803921568627E-2</v>
      </c>
      <c r="T25" s="36"/>
      <c r="U25" s="2"/>
      <c r="V25" s="2"/>
      <c r="W25" s="2"/>
      <c r="X25" s="65"/>
      <c r="Y25" s="65"/>
      <c r="Z25" s="2"/>
    </row>
    <row r="26" spans="1:26" s="55" customFormat="1" ht="14.25" customHeight="1" x14ac:dyDescent="0.2">
      <c r="A26" s="12"/>
      <c r="B26" s="75" t="s">
        <v>21</v>
      </c>
      <c r="C26" s="76"/>
      <c r="D26" s="76"/>
      <c r="E26" s="77"/>
      <c r="F26" s="34"/>
      <c r="G26" s="3"/>
      <c r="H26" s="3"/>
      <c r="I26" s="3"/>
      <c r="J26" s="66"/>
      <c r="K26" s="66"/>
      <c r="L26" s="3">
        <v>30</v>
      </c>
      <c r="M26" s="36"/>
      <c r="N26" s="26" t="str">
        <f t="shared" si="13"/>
        <v/>
      </c>
      <c r="O26" s="26" t="str">
        <f t="shared" si="14"/>
        <v/>
      </c>
      <c r="P26" s="26" t="str">
        <f t="shared" si="15"/>
        <v/>
      </c>
      <c r="Q26" s="26" t="str">
        <f t="shared" si="16"/>
        <v/>
      </c>
      <c r="R26" s="26" t="str">
        <f t="shared" si="17"/>
        <v/>
      </c>
      <c r="S26" s="26">
        <f t="shared" si="18"/>
        <v>1.4705882352941176E-2</v>
      </c>
      <c r="T26" s="36"/>
      <c r="U26" s="2"/>
      <c r="V26" s="2"/>
      <c r="W26" s="2"/>
      <c r="X26" s="65"/>
      <c r="Y26" s="65"/>
      <c r="Z26" s="2"/>
    </row>
    <row r="27" spans="1:26" s="55" customFormat="1" ht="14.25" customHeight="1" x14ac:dyDescent="0.2">
      <c r="A27" s="12"/>
      <c r="B27" s="75" t="s">
        <v>48</v>
      </c>
      <c r="C27" s="76"/>
      <c r="D27" s="76"/>
      <c r="E27" s="77"/>
      <c r="F27" s="34"/>
      <c r="G27" s="3"/>
      <c r="H27" s="3"/>
      <c r="I27" s="3"/>
      <c r="J27" s="66"/>
      <c r="K27" s="66"/>
      <c r="L27" s="3">
        <v>10</v>
      </c>
      <c r="M27" s="36"/>
      <c r="N27" s="26" t="str">
        <f t="shared" si="13"/>
        <v/>
      </c>
      <c r="O27" s="26" t="str">
        <f t="shared" si="14"/>
        <v/>
      </c>
      <c r="P27" s="26" t="str">
        <f t="shared" si="15"/>
        <v/>
      </c>
      <c r="Q27" s="26" t="str">
        <f t="shared" si="16"/>
        <v/>
      </c>
      <c r="R27" s="26" t="str">
        <f t="shared" si="17"/>
        <v/>
      </c>
      <c r="S27" s="26">
        <f t="shared" si="18"/>
        <v>4.9019607843137254E-3</v>
      </c>
      <c r="T27" s="36"/>
      <c r="U27" s="2"/>
      <c r="V27" s="2"/>
      <c r="W27" s="2"/>
      <c r="X27" s="65"/>
      <c r="Y27" s="65"/>
      <c r="Z27" s="2"/>
    </row>
    <row r="28" spans="1:26" s="55" customFormat="1" ht="14.25" customHeight="1" x14ac:dyDescent="0.2">
      <c r="A28" s="12"/>
      <c r="B28" s="75" t="s">
        <v>127</v>
      </c>
      <c r="C28" s="76"/>
      <c r="D28" s="76"/>
      <c r="E28" s="77"/>
      <c r="F28" s="34"/>
      <c r="G28" s="3"/>
      <c r="H28" s="3"/>
      <c r="I28" s="3"/>
      <c r="J28" s="66"/>
      <c r="K28" s="66"/>
      <c r="L28" s="3">
        <v>50</v>
      </c>
      <c r="M28" s="36"/>
      <c r="N28" s="26" t="str">
        <f t="shared" si="13"/>
        <v/>
      </c>
      <c r="O28" s="26" t="str">
        <f t="shared" si="14"/>
        <v/>
      </c>
      <c r="P28" s="26" t="str">
        <f t="shared" si="15"/>
        <v/>
      </c>
      <c r="Q28" s="26" t="str">
        <f t="shared" si="16"/>
        <v/>
      </c>
      <c r="R28" s="26" t="str">
        <f t="shared" si="17"/>
        <v/>
      </c>
      <c r="S28" s="26">
        <f t="shared" si="18"/>
        <v>2.4509803921568627E-2</v>
      </c>
      <c r="T28" s="36"/>
      <c r="U28" s="2"/>
      <c r="V28" s="2"/>
      <c r="W28" s="2"/>
      <c r="X28" s="65"/>
      <c r="Y28" s="65"/>
      <c r="Z28" s="2"/>
    </row>
    <row r="29" spans="1:26" s="55" customFormat="1" ht="14.25" customHeight="1" x14ac:dyDescent="0.2">
      <c r="A29" s="12"/>
      <c r="B29" s="75" t="s">
        <v>128</v>
      </c>
      <c r="C29" s="76"/>
      <c r="D29" s="76"/>
      <c r="E29" s="77"/>
      <c r="F29" s="34"/>
      <c r="G29" s="3"/>
      <c r="H29" s="3"/>
      <c r="I29" s="3"/>
      <c r="J29" s="66"/>
      <c r="K29" s="66"/>
      <c r="L29" s="3">
        <v>350</v>
      </c>
      <c r="M29" s="36"/>
      <c r="N29" s="26" t="str">
        <f t="shared" si="13"/>
        <v/>
      </c>
      <c r="O29" s="26" t="str">
        <f t="shared" si="14"/>
        <v/>
      </c>
      <c r="P29" s="26" t="str">
        <f t="shared" si="15"/>
        <v/>
      </c>
      <c r="Q29" s="26" t="str">
        <f t="shared" si="16"/>
        <v/>
      </c>
      <c r="R29" s="26" t="str">
        <f t="shared" si="17"/>
        <v/>
      </c>
      <c r="S29" s="26">
        <f t="shared" si="18"/>
        <v>0.17156862745098039</v>
      </c>
      <c r="T29" s="36"/>
      <c r="U29" s="2"/>
      <c r="V29" s="2"/>
      <c r="W29" s="2"/>
      <c r="X29" s="65"/>
      <c r="Y29" s="65"/>
      <c r="Z29" s="2"/>
    </row>
    <row r="30" spans="1:26" s="55" customFormat="1" ht="14.25" customHeight="1" x14ac:dyDescent="0.2">
      <c r="A30" s="12"/>
      <c r="B30" s="15" t="s">
        <v>248</v>
      </c>
      <c r="C30" s="16"/>
      <c r="D30" s="16"/>
      <c r="E30" s="17"/>
      <c r="F30" s="34"/>
      <c r="G30" s="3"/>
      <c r="H30" s="3"/>
      <c r="I30" s="3"/>
      <c r="J30" s="66"/>
      <c r="K30" s="66"/>
      <c r="L30" s="3">
        <v>10</v>
      </c>
      <c r="M30" s="36"/>
      <c r="N30" s="26" t="str">
        <f t="shared" si="13"/>
        <v/>
      </c>
      <c r="O30" s="26" t="str">
        <f t="shared" si="14"/>
        <v/>
      </c>
      <c r="P30" s="26" t="str">
        <f t="shared" si="15"/>
        <v/>
      </c>
      <c r="Q30" s="26" t="str">
        <f t="shared" si="16"/>
        <v/>
      </c>
      <c r="R30" s="26" t="str">
        <f t="shared" si="17"/>
        <v/>
      </c>
      <c r="S30" s="26">
        <f t="shared" si="18"/>
        <v>4.9019607843137254E-3</v>
      </c>
      <c r="T30" s="36"/>
      <c r="U30" s="2"/>
      <c r="V30" s="2"/>
      <c r="W30" s="2"/>
      <c r="X30" s="65"/>
      <c r="Y30" s="65"/>
      <c r="Z30" s="2"/>
    </row>
    <row r="31" spans="1:26" s="55" customFormat="1" ht="14.25" customHeight="1" x14ac:dyDescent="0.2">
      <c r="A31" s="12"/>
      <c r="B31" s="75" t="s">
        <v>268</v>
      </c>
      <c r="C31" s="76"/>
      <c r="D31" s="76"/>
      <c r="E31" s="77"/>
      <c r="F31" s="34"/>
      <c r="G31" s="3"/>
      <c r="H31" s="3"/>
      <c r="I31" s="3"/>
      <c r="J31" s="66"/>
      <c r="K31" s="66"/>
      <c r="L31" s="3">
        <v>20</v>
      </c>
      <c r="M31" s="36"/>
      <c r="N31" s="26" t="str">
        <f t="shared" si="13"/>
        <v/>
      </c>
      <c r="O31" s="26" t="str">
        <f t="shared" si="14"/>
        <v/>
      </c>
      <c r="P31" s="26" t="str">
        <f t="shared" si="15"/>
        <v/>
      </c>
      <c r="Q31" s="26" t="str">
        <f t="shared" si="16"/>
        <v/>
      </c>
      <c r="R31" s="26" t="str">
        <f t="shared" si="17"/>
        <v/>
      </c>
      <c r="S31" s="26">
        <f t="shared" si="18"/>
        <v>9.8039215686274508E-3</v>
      </c>
      <c r="T31" s="36"/>
      <c r="U31" s="2"/>
      <c r="V31" s="2"/>
      <c r="W31" s="2"/>
      <c r="X31" s="65"/>
      <c r="Y31" s="65"/>
      <c r="Z31" s="2"/>
    </row>
    <row r="32" spans="1:26" s="55" customFormat="1" ht="14.25" customHeight="1" x14ac:dyDescent="0.2">
      <c r="A32" s="12"/>
      <c r="B32" s="75" t="s">
        <v>269</v>
      </c>
      <c r="C32" s="76"/>
      <c r="D32" s="76"/>
      <c r="E32" s="77"/>
      <c r="F32" s="34"/>
      <c r="G32" s="3"/>
      <c r="H32" s="3"/>
      <c r="I32" s="3"/>
      <c r="J32" s="66"/>
      <c r="K32" s="66"/>
      <c r="L32" s="3">
        <v>40</v>
      </c>
      <c r="M32" s="36"/>
      <c r="N32" s="26" t="str">
        <f t="shared" ref="N32:N34" si="19">IFERROR(G32/G$36,"")</f>
        <v/>
      </c>
      <c r="O32" s="26" t="str">
        <f t="shared" ref="O32:O34" si="20">IFERROR(H32/H$36,"")</f>
        <v/>
      </c>
      <c r="P32" s="26" t="str">
        <f t="shared" ref="P32:P34" si="21">IFERROR(I32/I$36,"")</f>
        <v/>
      </c>
      <c r="Q32" s="26" t="str">
        <f t="shared" ref="Q32:Q34" si="22">IFERROR(J32/J$36,"")</f>
        <v/>
      </c>
      <c r="R32" s="26" t="str">
        <f t="shared" ref="R32:R34" si="23">IFERROR(K32/K$36,"")</f>
        <v/>
      </c>
      <c r="S32" s="26">
        <f t="shared" ref="S32:S34" si="24">IFERROR(L32/L$36,"")</f>
        <v>1.9607843137254902E-2</v>
      </c>
      <c r="T32" s="36"/>
      <c r="U32" s="2"/>
      <c r="V32" s="2"/>
      <c r="W32" s="2"/>
      <c r="X32" s="65"/>
      <c r="Y32" s="65"/>
      <c r="Z32" s="2"/>
    </row>
    <row r="33" spans="1:26" s="55" customFormat="1" ht="14.25" customHeight="1" x14ac:dyDescent="0.2">
      <c r="A33" s="12"/>
      <c r="B33" s="75" t="s">
        <v>138</v>
      </c>
      <c r="C33" s="76"/>
      <c r="D33" s="76"/>
      <c r="E33" s="77"/>
      <c r="F33" s="34"/>
      <c r="G33" s="3"/>
      <c r="H33" s="3"/>
      <c r="I33" s="3"/>
      <c r="J33" s="66"/>
      <c r="K33" s="66"/>
      <c r="L33" s="3">
        <f t="shared" ref="L21:L35" si="25">SUM(H33:K33)</f>
        <v>0</v>
      </c>
      <c r="M33" s="36"/>
      <c r="N33" s="26" t="str">
        <f t="shared" si="19"/>
        <v/>
      </c>
      <c r="O33" s="26" t="str">
        <f t="shared" si="20"/>
        <v/>
      </c>
      <c r="P33" s="26" t="str">
        <f t="shared" si="21"/>
        <v/>
      </c>
      <c r="Q33" s="26" t="str">
        <f t="shared" si="22"/>
        <v/>
      </c>
      <c r="R33" s="26" t="str">
        <f t="shared" si="23"/>
        <v/>
      </c>
      <c r="S33" s="26">
        <f t="shared" si="24"/>
        <v>0</v>
      </c>
      <c r="T33" s="36"/>
      <c r="U33" s="2"/>
      <c r="V33" s="2"/>
      <c r="W33" s="2"/>
      <c r="X33" s="65"/>
      <c r="Y33" s="65"/>
      <c r="Z33" s="2"/>
    </row>
    <row r="34" spans="1:26" s="55" customFormat="1" ht="14.25" customHeight="1" x14ac:dyDescent="0.2">
      <c r="A34" s="12"/>
      <c r="B34" s="75" t="s">
        <v>246</v>
      </c>
      <c r="C34" s="76"/>
      <c r="D34" s="76"/>
      <c r="E34" s="77"/>
      <c r="F34" s="34"/>
      <c r="G34" s="3"/>
      <c r="H34" s="3"/>
      <c r="I34" s="3"/>
      <c r="J34" s="66"/>
      <c r="K34" s="66"/>
      <c r="L34" s="3">
        <f t="shared" si="25"/>
        <v>0</v>
      </c>
      <c r="M34" s="36"/>
      <c r="N34" s="26" t="str">
        <f t="shared" si="19"/>
        <v/>
      </c>
      <c r="O34" s="26" t="str">
        <f t="shared" si="20"/>
        <v/>
      </c>
      <c r="P34" s="26" t="str">
        <f t="shared" si="21"/>
        <v/>
      </c>
      <c r="Q34" s="26" t="str">
        <f t="shared" si="22"/>
        <v/>
      </c>
      <c r="R34" s="26" t="str">
        <f t="shared" si="23"/>
        <v/>
      </c>
      <c r="S34" s="26">
        <f t="shared" si="24"/>
        <v>0</v>
      </c>
      <c r="T34" s="36"/>
      <c r="U34" s="2"/>
      <c r="V34" s="2"/>
      <c r="W34" s="2"/>
      <c r="X34" s="65"/>
      <c r="Y34" s="65"/>
      <c r="Z34" s="2"/>
    </row>
    <row r="35" spans="1:26" s="55" customFormat="1" ht="14.25" customHeight="1" x14ac:dyDescent="0.2">
      <c r="A35" s="12"/>
      <c r="B35" s="117" t="s">
        <v>32</v>
      </c>
      <c r="C35" s="118"/>
      <c r="D35" s="83"/>
      <c r="E35" s="84"/>
      <c r="F35" s="35"/>
      <c r="G35" s="3"/>
      <c r="H35" s="3"/>
      <c r="I35" s="3"/>
      <c r="J35" s="66"/>
      <c r="K35" s="66"/>
      <c r="L35" s="3">
        <f t="shared" si="25"/>
        <v>0</v>
      </c>
      <c r="M35" s="36"/>
      <c r="N35" s="26" t="str">
        <f t="shared" ref="N35:S35" si="26">IFERROR(G35/G$36,"")</f>
        <v/>
      </c>
      <c r="O35" s="26" t="str">
        <f t="shared" si="26"/>
        <v/>
      </c>
      <c r="P35" s="26" t="str">
        <f t="shared" si="26"/>
        <v/>
      </c>
      <c r="Q35" s="26" t="str">
        <f t="shared" si="26"/>
        <v/>
      </c>
      <c r="R35" s="26" t="str">
        <f t="shared" si="26"/>
        <v/>
      </c>
      <c r="S35" s="26">
        <f t="shared" si="26"/>
        <v>0</v>
      </c>
      <c r="T35" s="36"/>
      <c r="U35" s="2"/>
      <c r="V35" s="2"/>
      <c r="W35" s="2"/>
      <c r="X35" s="65"/>
      <c r="Y35" s="65"/>
      <c r="Z35" s="2"/>
    </row>
    <row r="36" spans="1:26" s="55" customFormat="1" ht="14.25" customHeight="1" x14ac:dyDescent="0.2">
      <c r="A36" s="12"/>
      <c r="B36" s="85" t="s">
        <v>12</v>
      </c>
      <c r="C36" s="86"/>
      <c r="D36" s="86"/>
      <c r="E36" s="87"/>
      <c r="F36" s="18"/>
      <c r="G36" s="7">
        <f t="shared" ref="G36:L36" si="27">SUM(G20:G35)</f>
        <v>0</v>
      </c>
      <c r="H36" s="7">
        <f t="shared" si="27"/>
        <v>0</v>
      </c>
      <c r="I36" s="7">
        <f t="shared" si="27"/>
        <v>0</v>
      </c>
      <c r="J36" s="7">
        <f t="shared" si="27"/>
        <v>0</v>
      </c>
      <c r="K36" s="7">
        <f t="shared" si="27"/>
        <v>0</v>
      </c>
      <c r="L36" s="7">
        <f t="shared" si="27"/>
        <v>2040</v>
      </c>
      <c r="M36" s="5"/>
      <c r="N36" s="57">
        <f t="shared" ref="N36:S36" si="28">SUM(N20:N35)</f>
        <v>0</v>
      </c>
      <c r="O36" s="57">
        <f t="shared" si="28"/>
        <v>0</v>
      </c>
      <c r="P36" s="57">
        <f t="shared" si="28"/>
        <v>0</v>
      </c>
      <c r="Q36" s="57">
        <f t="shared" si="28"/>
        <v>0</v>
      </c>
      <c r="R36" s="57">
        <f t="shared" si="28"/>
        <v>0</v>
      </c>
      <c r="S36" s="57">
        <f t="shared" si="28"/>
        <v>1</v>
      </c>
      <c r="T36" s="5"/>
      <c r="U36" s="32"/>
      <c r="V36" s="32"/>
      <c r="W36" s="32"/>
      <c r="X36" s="32"/>
      <c r="Y36" s="32"/>
      <c r="Z36" s="32"/>
    </row>
    <row r="37" spans="1:26" s="55" customFormat="1" ht="14.25" customHeight="1" x14ac:dyDescent="0.2">
      <c r="A37" s="12"/>
      <c r="B37" s="95" t="s">
        <v>11</v>
      </c>
      <c r="C37" s="95"/>
      <c r="D37" s="95"/>
      <c r="E37" s="95"/>
      <c r="F37" s="20"/>
      <c r="G37" s="52" t="s">
        <v>137</v>
      </c>
      <c r="H37" s="52" t="s">
        <v>137</v>
      </c>
      <c r="I37" s="52" t="s">
        <v>137</v>
      </c>
      <c r="J37" s="52" t="s">
        <v>26</v>
      </c>
      <c r="K37" s="52" t="s">
        <v>26</v>
      </c>
      <c r="L37" s="52" t="s">
        <v>26</v>
      </c>
      <c r="M37" s="6"/>
      <c r="N37" s="52" t="s">
        <v>137</v>
      </c>
      <c r="O37" s="52" t="s">
        <v>137</v>
      </c>
      <c r="P37" s="52" t="s">
        <v>137</v>
      </c>
      <c r="Q37" s="52" t="s">
        <v>26</v>
      </c>
      <c r="R37" s="52" t="s">
        <v>26</v>
      </c>
      <c r="S37" s="52" t="s">
        <v>26</v>
      </c>
      <c r="T37" s="5"/>
      <c r="U37" s="52" t="s">
        <v>137</v>
      </c>
      <c r="V37" s="52" t="s">
        <v>137</v>
      </c>
      <c r="W37" s="52" t="s">
        <v>137</v>
      </c>
      <c r="X37" s="52" t="s">
        <v>26</v>
      </c>
      <c r="Y37" s="52" t="s">
        <v>26</v>
      </c>
      <c r="Z37" s="52" t="s">
        <v>26</v>
      </c>
    </row>
    <row r="38" spans="1:26" s="55" customFormat="1" ht="14.25" customHeight="1" x14ac:dyDescent="0.2">
      <c r="A38" s="12"/>
      <c r="B38" s="78" t="s">
        <v>52</v>
      </c>
      <c r="C38" s="79"/>
      <c r="D38" s="79"/>
      <c r="E38" s="80"/>
      <c r="F38" s="21" t="s">
        <v>47</v>
      </c>
      <c r="G38" s="13">
        <v>2025</v>
      </c>
      <c r="H38" s="13" t="s">
        <v>262</v>
      </c>
      <c r="I38" s="13" t="s">
        <v>263</v>
      </c>
      <c r="J38" s="13" t="s">
        <v>264</v>
      </c>
      <c r="K38" s="13" t="s">
        <v>265</v>
      </c>
      <c r="L38" s="13">
        <v>2026</v>
      </c>
      <c r="M38" s="5"/>
      <c r="N38" s="13">
        <v>2025</v>
      </c>
      <c r="O38" s="13" t="s">
        <v>262</v>
      </c>
      <c r="P38" s="13" t="s">
        <v>263</v>
      </c>
      <c r="Q38" s="13" t="s">
        <v>264</v>
      </c>
      <c r="R38" s="13" t="s">
        <v>265</v>
      </c>
      <c r="S38" s="13">
        <v>2026</v>
      </c>
      <c r="T38" s="5"/>
      <c r="U38" s="13">
        <v>2025</v>
      </c>
      <c r="V38" s="13" t="s">
        <v>262</v>
      </c>
      <c r="W38" s="13" t="s">
        <v>263</v>
      </c>
      <c r="X38" s="13" t="s">
        <v>264</v>
      </c>
      <c r="Y38" s="13" t="s">
        <v>265</v>
      </c>
      <c r="Z38" s="13">
        <v>2026</v>
      </c>
    </row>
    <row r="39" spans="1:26" s="55" customFormat="1" ht="14.25" customHeight="1" x14ac:dyDescent="0.2">
      <c r="A39" s="12"/>
      <c r="B39" s="75" t="s">
        <v>275</v>
      </c>
      <c r="C39" s="76"/>
      <c r="D39" s="76"/>
      <c r="E39" s="77"/>
      <c r="F39" s="34"/>
      <c r="G39" s="3"/>
      <c r="H39" s="3"/>
      <c r="I39" s="3"/>
      <c r="J39" s="66"/>
      <c r="K39" s="66"/>
      <c r="L39" s="3">
        <v>10</v>
      </c>
      <c r="M39" s="36"/>
      <c r="N39" s="26" t="str">
        <f t="shared" ref="N39:N57" si="29">IFERROR(G39/G$59,"")</f>
        <v/>
      </c>
      <c r="O39" s="26" t="str">
        <f t="shared" ref="O39:O57" si="30">IFERROR(H39/H$59,"")</f>
        <v/>
      </c>
      <c r="P39" s="26" t="str">
        <f t="shared" ref="P39:P57" si="31">IFERROR(I39/I$59,"")</f>
        <v/>
      </c>
      <c r="Q39" s="26" t="str">
        <f t="shared" ref="Q39:Q57" si="32">IFERROR(J39/J$59,"")</f>
        <v/>
      </c>
      <c r="R39" s="26" t="str">
        <f t="shared" ref="R39:R57" si="33">IFERROR(K39/K$59,"")</f>
        <v/>
      </c>
      <c r="S39" s="26">
        <f t="shared" ref="S39:S57" si="34">IFERROR(L39/L$59,"")</f>
        <v>0.1111111111111111</v>
      </c>
      <c r="T39" s="36"/>
      <c r="U39" s="2"/>
      <c r="V39" s="2"/>
      <c r="W39" s="2"/>
      <c r="X39" s="65"/>
      <c r="Y39" s="65"/>
      <c r="Z39" s="2"/>
    </row>
    <row r="40" spans="1:26" s="55" customFormat="1" ht="14.25" customHeight="1" x14ac:dyDescent="0.2">
      <c r="A40" s="12"/>
      <c r="B40" s="75" t="s">
        <v>160</v>
      </c>
      <c r="C40" s="76"/>
      <c r="D40" s="76"/>
      <c r="E40" s="77"/>
      <c r="F40" s="34"/>
      <c r="G40" s="3"/>
      <c r="H40" s="3"/>
      <c r="I40" s="3"/>
      <c r="J40" s="66"/>
      <c r="K40" s="66"/>
      <c r="L40" s="3">
        <v>5</v>
      </c>
      <c r="M40" s="36"/>
      <c r="N40" s="26" t="str">
        <f t="shared" si="29"/>
        <v/>
      </c>
      <c r="O40" s="26" t="str">
        <f t="shared" si="30"/>
        <v/>
      </c>
      <c r="P40" s="26" t="str">
        <f t="shared" si="31"/>
        <v/>
      </c>
      <c r="Q40" s="26" t="str">
        <f t="shared" si="32"/>
        <v/>
      </c>
      <c r="R40" s="26" t="str">
        <f t="shared" si="33"/>
        <v/>
      </c>
      <c r="S40" s="26">
        <f t="shared" si="34"/>
        <v>5.5555555555555552E-2</v>
      </c>
      <c r="T40" s="36"/>
      <c r="U40" s="2"/>
      <c r="V40" s="2"/>
      <c r="W40" s="2"/>
      <c r="X40" s="65"/>
      <c r="Y40" s="65"/>
      <c r="Z40" s="2"/>
    </row>
    <row r="41" spans="1:26" s="55" customFormat="1" ht="14.25" customHeight="1" x14ac:dyDescent="0.2">
      <c r="A41" s="12"/>
      <c r="B41" s="75" t="s">
        <v>33</v>
      </c>
      <c r="C41" s="76"/>
      <c r="D41" s="76"/>
      <c r="E41" s="77"/>
      <c r="F41" s="34"/>
      <c r="G41" s="3"/>
      <c r="H41" s="3"/>
      <c r="I41" s="3"/>
      <c r="J41" s="66"/>
      <c r="K41" s="66"/>
      <c r="L41" s="3">
        <v>20</v>
      </c>
      <c r="M41" s="36"/>
      <c r="N41" s="26" t="str">
        <f t="shared" si="29"/>
        <v/>
      </c>
      <c r="O41" s="26" t="str">
        <f t="shared" si="30"/>
        <v/>
      </c>
      <c r="P41" s="26" t="str">
        <f t="shared" si="31"/>
        <v/>
      </c>
      <c r="Q41" s="26" t="str">
        <f t="shared" si="32"/>
        <v/>
      </c>
      <c r="R41" s="26" t="str">
        <f t="shared" si="33"/>
        <v/>
      </c>
      <c r="S41" s="26">
        <f t="shared" si="34"/>
        <v>0.22222222222222221</v>
      </c>
      <c r="T41" s="36"/>
      <c r="U41" s="2"/>
      <c r="V41" s="2"/>
      <c r="W41" s="2"/>
      <c r="X41" s="65"/>
      <c r="Y41" s="65"/>
      <c r="Z41" s="2"/>
    </row>
    <row r="42" spans="1:26" s="55" customFormat="1" ht="14.25" customHeight="1" x14ac:dyDescent="0.2">
      <c r="A42" s="12"/>
      <c r="B42" s="75" t="s">
        <v>149</v>
      </c>
      <c r="C42" s="76"/>
      <c r="D42" s="76"/>
      <c r="E42" s="77"/>
      <c r="F42" s="34"/>
      <c r="G42" s="3"/>
      <c r="H42" s="3"/>
      <c r="I42" s="3"/>
      <c r="J42" s="66"/>
      <c r="K42" s="66"/>
      <c r="L42" s="3">
        <v>5</v>
      </c>
      <c r="M42" s="36"/>
      <c r="N42" s="26" t="str">
        <f t="shared" si="29"/>
        <v/>
      </c>
      <c r="O42" s="26" t="str">
        <f t="shared" si="30"/>
        <v/>
      </c>
      <c r="P42" s="26" t="str">
        <f t="shared" si="31"/>
        <v/>
      </c>
      <c r="Q42" s="26" t="str">
        <f t="shared" si="32"/>
        <v/>
      </c>
      <c r="R42" s="26" t="str">
        <f t="shared" si="33"/>
        <v/>
      </c>
      <c r="S42" s="26">
        <f t="shared" si="34"/>
        <v>5.5555555555555552E-2</v>
      </c>
      <c r="T42" s="36"/>
      <c r="U42" s="2"/>
      <c r="V42" s="2"/>
      <c r="W42" s="2"/>
      <c r="X42" s="65"/>
      <c r="Y42" s="65"/>
      <c r="Z42" s="2"/>
    </row>
    <row r="43" spans="1:26" s="55" customFormat="1" ht="14.25" customHeight="1" x14ac:dyDescent="0.2">
      <c r="A43" s="12"/>
      <c r="B43" s="75" t="s">
        <v>241</v>
      </c>
      <c r="C43" s="76"/>
      <c r="D43" s="76"/>
      <c r="E43" s="77"/>
      <c r="F43" s="34"/>
      <c r="G43" s="3"/>
      <c r="H43" s="3"/>
      <c r="I43" s="3"/>
      <c r="J43" s="66"/>
      <c r="K43" s="66"/>
      <c r="L43" s="3">
        <v>15</v>
      </c>
      <c r="M43" s="36"/>
      <c r="N43" s="26" t="str">
        <f t="shared" si="29"/>
        <v/>
      </c>
      <c r="O43" s="26" t="str">
        <f t="shared" si="30"/>
        <v/>
      </c>
      <c r="P43" s="26" t="str">
        <f t="shared" si="31"/>
        <v/>
      </c>
      <c r="Q43" s="26" t="str">
        <f t="shared" si="32"/>
        <v/>
      </c>
      <c r="R43" s="26" t="str">
        <f t="shared" si="33"/>
        <v/>
      </c>
      <c r="S43" s="26">
        <f t="shared" si="34"/>
        <v>0.16666666666666666</v>
      </c>
      <c r="T43" s="36"/>
      <c r="U43" s="2"/>
      <c r="V43" s="2"/>
      <c r="W43" s="2"/>
      <c r="X43" s="65"/>
      <c r="Y43" s="65"/>
      <c r="Z43" s="2"/>
    </row>
    <row r="44" spans="1:26" s="55" customFormat="1" ht="14.25" customHeight="1" x14ac:dyDescent="0.2">
      <c r="A44" s="12"/>
      <c r="B44" s="75" t="s">
        <v>14</v>
      </c>
      <c r="C44" s="76"/>
      <c r="D44" s="76"/>
      <c r="E44" s="77"/>
      <c r="F44" s="34"/>
      <c r="G44" s="3"/>
      <c r="H44" s="3"/>
      <c r="I44" s="3"/>
      <c r="J44" s="66"/>
      <c r="K44" s="66"/>
      <c r="L44" s="3">
        <v>25</v>
      </c>
      <c r="M44" s="36"/>
      <c r="N44" s="26" t="str">
        <f t="shared" si="29"/>
        <v/>
      </c>
      <c r="O44" s="26" t="str">
        <f t="shared" si="30"/>
        <v/>
      </c>
      <c r="P44" s="26" t="str">
        <f t="shared" si="31"/>
        <v/>
      </c>
      <c r="Q44" s="26" t="str">
        <f t="shared" si="32"/>
        <v/>
      </c>
      <c r="R44" s="26" t="str">
        <f t="shared" si="33"/>
        <v/>
      </c>
      <c r="S44" s="26">
        <f t="shared" si="34"/>
        <v>0.27777777777777779</v>
      </c>
      <c r="T44" s="36"/>
      <c r="U44" s="2"/>
      <c r="V44" s="2"/>
      <c r="W44" s="2"/>
      <c r="X44" s="65"/>
      <c r="Y44" s="65"/>
      <c r="Z44" s="2"/>
    </row>
    <row r="45" spans="1:26" s="55" customFormat="1" ht="14.25" customHeight="1" x14ac:dyDescent="0.2">
      <c r="A45" s="12"/>
      <c r="B45" s="75" t="s">
        <v>20</v>
      </c>
      <c r="C45" s="76"/>
      <c r="D45" s="76"/>
      <c r="E45" s="77"/>
      <c r="F45" s="34"/>
      <c r="G45" s="3"/>
      <c r="H45" s="3"/>
      <c r="I45" s="3"/>
      <c r="J45" s="66"/>
      <c r="K45" s="66"/>
      <c r="L45" s="3">
        <f t="shared" ref="L40:L58" si="35">SUM(H45:K45)</f>
        <v>0</v>
      </c>
      <c r="M45" s="36"/>
      <c r="N45" s="26" t="str">
        <f t="shared" si="29"/>
        <v/>
      </c>
      <c r="O45" s="26" t="str">
        <f t="shared" si="30"/>
        <v/>
      </c>
      <c r="P45" s="26" t="str">
        <f t="shared" si="31"/>
        <v/>
      </c>
      <c r="Q45" s="26" t="str">
        <f t="shared" si="32"/>
        <v/>
      </c>
      <c r="R45" s="26" t="str">
        <f t="shared" si="33"/>
        <v/>
      </c>
      <c r="S45" s="26">
        <f t="shared" si="34"/>
        <v>0</v>
      </c>
      <c r="T45" s="36"/>
      <c r="U45" s="2"/>
      <c r="V45" s="2"/>
      <c r="W45" s="2"/>
      <c r="X45" s="65"/>
      <c r="Y45" s="65"/>
      <c r="Z45" s="2"/>
    </row>
    <row r="46" spans="1:26" s="55" customFormat="1" ht="14.25" customHeight="1" x14ac:dyDescent="0.2">
      <c r="A46" s="12"/>
      <c r="B46" s="75" t="s">
        <v>58</v>
      </c>
      <c r="C46" s="76"/>
      <c r="D46" s="76"/>
      <c r="E46" s="77"/>
      <c r="F46" s="34"/>
      <c r="G46" s="3"/>
      <c r="H46" s="3"/>
      <c r="I46" s="3"/>
      <c r="J46" s="66"/>
      <c r="K46" s="66"/>
      <c r="L46" s="3">
        <v>10</v>
      </c>
      <c r="M46" s="36"/>
      <c r="N46" s="26" t="str">
        <f t="shared" si="29"/>
        <v/>
      </c>
      <c r="O46" s="26" t="str">
        <f t="shared" si="30"/>
        <v/>
      </c>
      <c r="P46" s="26" t="str">
        <f t="shared" si="31"/>
        <v/>
      </c>
      <c r="Q46" s="26" t="str">
        <f t="shared" si="32"/>
        <v/>
      </c>
      <c r="R46" s="26" t="str">
        <f t="shared" si="33"/>
        <v/>
      </c>
      <c r="S46" s="26">
        <f t="shared" si="34"/>
        <v>0.1111111111111111</v>
      </c>
      <c r="T46" s="36"/>
      <c r="U46" s="2"/>
      <c r="V46" s="2"/>
      <c r="W46" s="2"/>
      <c r="X46" s="65"/>
      <c r="Y46" s="65"/>
      <c r="Z46" s="2"/>
    </row>
    <row r="47" spans="1:26" s="55" customFormat="1" ht="14.25" customHeight="1" x14ac:dyDescent="0.2">
      <c r="A47" s="12"/>
      <c r="B47" s="75" t="s">
        <v>151</v>
      </c>
      <c r="C47" s="76"/>
      <c r="D47" s="76"/>
      <c r="E47" s="77"/>
      <c r="F47" s="34"/>
      <c r="G47" s="3"/>
      <c r="H47" s="3"/>
      <c r="I47" s="3"/>
      <c r="J47" s="66"/>
      <c r="K47" s="66"/>
      <c r="L47" s="3">
        <f t="shared" si="35"/>
        <v>0</v>
      </c>
      <c r="M47" s="36"/>
      <c r="N47" s="26" t="str">
        <f t="shared" si="29"/>
        <v/>
      </c>
      <c r="O47" s="26" t="str">
        <f t="shared" si="30"/>
        <v/>
      </c>
      <c r="P47" s="26" t="str">
        <f t="shared" si="31"/>
        <v/>
      </c>
      <c r="Q47" s="26" t="str">
        <f t="shared" si="32"/>
        <v/>
      </c>
      <c r="R47" s="26" t="str">
        <f t="shared" si="33"/>
        <v/>
      </c>
      <c r="S47" s="26">
        <f t="shared" si="34"/>
        <v>0</v>
      </c>
      <c r="T47" s="36"/>
      <c r="U47" s="2"/>
      <c r="V47" s="2"/>
      <c r="W47" s="2"/>
      <c r="X47" s="65"/>
      <c r="Y47" s="65"/>
      <c r="Z47" s="2"/>
    </row>
    <row r="48" spans="1:26" s="55" customFormat="1" ht="14.25" customHeight="1" x14ac:dyDescent="0.2">
      <c r="A48" s="12"/>
      <c r="B48" s="75" t="s">
        <v>152</v>
      </c>
      <c r="C48" s="76"/>
      <c r="D48" s="76"/>
      <c r="E48" s="77"/>
      <c r="F48" s="34"/>
      <c r="G48" s="3"/>
      <c r="H48" s="3"/>
      <c r="I48" s="3"/>
      <c r="J48" s="66"/>
      <c r="K48" s="66"/>
      <c r="L48" s="3">
        <f t="shared" si="35"/>
        <v>0</v>
      </c>
      <c r="M48" s="36"/>
      <c r="N48" s="26" t="str">
        <f t="shared" si="29"/>
        <v/>
      </c>
      <c r="O48" s="26" t="str">
        <f t="shared" si="30"/>
        <v/>
      </c>
      <c r="P48" s="26" t="str">
        <f t="shared" si="31"/>
        <v/>
      </c>
      <c r="Q48" s="26" t="str">
        <f t="shared" si="32"/>
        <v/>
      </c>
      <c r="R48" s="26" t="str">
        <f t="shared" si="33"/>
        <v/>
      </c>
      <c r="S48" s="26">
        <f t="shared" si="34"/>
        <v>0</v>
      </c>
      <c r="T48" s="36"/>
      <c r="U48" s="2"/>
      <c r="V48" s="2"/>
      <c r="W48" s="2"/>
      <c r="X48" s="65"/>
      <c r="Y48" s="65"/>
      <c r="Z48" s="2"/>
    </row>
    <row r="49" spans="1:26" s="55" customFormat="1" ht="14.25" customHeight="1" x14ac:dyDescent="0.2">
      <c r="A49" s="12"/>
      <c r="B49" s="75" t="s">
        <v>153</v>
      </c>
      <c r="C49" s="76"/>
      <c r="D49" s="76"/>
      <c r="E49" s="77"/>
      <c r="F49" s="34"/>
      <c r="G49" s="3"/>
      <c r="H49" s="3"/>
      <c r="I49" s="3"/>
      <c r="J49" s="66"/>
      <c r="K49" s="66"/>
      <c r="L49" s="3">
        <f t="shared" si="35"/>
        <v>0</v>
      </c>
      <c r="M49" s="36"/>
      <c r="N49" s="26" t="str">
        <f t="shared" si="29"/>
        <v/>
      </c>
      <c r="O49" s="26" t="str">
        <f t="shared" si="30"/>
        <v/>
      </c>
      <c r="P49" s="26" t="str">
        <f t="shared" si="31"/>
        <v/>
      </c>
      <c r="Q49" s="26" t="str">
        <f t="shared" si="32"/>
        <v/>
      </c>
      <c r="R49" s="26" t="str">
        <f t="shared" si="33"/>
        <v/>
      </c>
      <c r="S49" s="26">
        <f t="shared" si="34"/>
        <v>0</v>
      </c>
      <c r="T49" s="36"/>
      <c r="U49" s="2"/>
      <c r="V49" s="2"/>
      <c r="W49" s="2"/>
      <c r="X49" s="65"/>
      <c r="Y49" s="65"/>
      <c r="Z49" s="2"/>
    </row>
    <row r="50" spans="1:26" s="55" customFormat="1" ht="14.25" customHeight="1" x14ac:dyDescent="0.2">
      <c r="A50" s="12"/>
      <c r="B50" s="75" t="s">
        <v>154</v>
      </c>
      <c r="C50" s="76"/>
      <c r="D50" s="76"/>
      <c r="E50" s="77"/>
      <c r="F50" s="34"/>
      <c r="G50" s="3"/>
      <c r="H50" s="3"/>
      <c r="I50" s="3"/>
      <c r="J50" s="66"/>
      <c r="K50" s="66"/>
      <c r="L50" s="3">
        <f t="shared" si="35"/>
        <v>0</v>
      </c>
      <c r="M50" s="36"/>
      <c r="N50" s="26" t="str">
        <f t="shared" si="29"/>
        <v/>
      </c>
      <c r="O50" s="26" t="str">
        <f t="shared" si="30"/>
        <v/>
      </c>
      <c r="P50" s="26" t="str">
        <f t="shared" si="31"/>
        <v/>
      </c>
      <c r="Q50" s="26" t="str">
        <f t="shared" si="32"/>
        <v/>
      </c>
      <c r="R50" s="26" t="str">
        <f t="shared" si="33"/>
        <v/>
      </c>
      <c r="S50" s="26">
        <f t="shared" si="34"/>
        <v>0</v>
      </c>
      <c r="T50" s="36"/>
      <c r="U50" s="2"/>
      <c r="V50" s="2"/>
      <c r="W50" s="2"/>
      <c r="X50" s="65"/>
      <c r="Y50" s="65"/>
      <c r="Z50" s="2"/>
    </row>
    <row r="51" spans="1:26" s="55" customFormat="1" ht="14.25" customHeight="1" x14ac:dyDescent="0.2">
      <c r="A51" s="12"/>
      <c r="B51" s="75" t="s">
        <v>173</v>
      </c>
      <c r="C51" s="76"/>
      <c r="D51" s="76"/>
      <c r="E51" s="77"/>
      <c r="F51" s="34"/>
      <c r="G51" s="3"/>
      <c r="H51" s="3"/>
      <c r="I51" s="3"/>
      <c r="J51" s="66"/>
      <c r="K51" s="66"/>
      <c r="L51" s="3">
        <f t="shared" si="35"/>
        <v>0</v>
      </c>
      <c r="M51" s="36"/>
      <c r="N51" s="26" t="str">
        <f t="shared" si="29"/>
        <v/>
      </c>
      <c r="O51" s="26" t="str">
        <f t="shared" si="30"/>
        <v/>
      </c>
      <c r="P51" s="26" t="str">
        <f t="shared" si="31"/>
        <v/>
      </c>
      <c r="Q51" s="26" t="str">
        <f t="shared" si="32"/>
        <v/>
      </c>
      <c r="R51" s="26" t="str">
        <f t="shared" si="33"/>
        <v/>
      </c>
      <c r="S51" s="26">
        <f t="shared" si="34"/>
        <v>0</v>
      </c>
      <c r="T51" s="36"/>
      <c r="U51" s="2"/>
      <c r="V51" s="2"/>
      <c r="W51" s="2"/>
      <c r="X51" s="65"/>
      <c r="Y51" s="65"/>
      <c r="Z51" s="2"/>
    </row>
    <row r="52" spans="1:26" s="55" customFormat="1" ht="14.25" customHeight="1" x14ac:dyDescent="0.2">
      <c r="A52" s="12"/>
      <c r="B52" s="75" t="s">
        <v>150</v>
      </c>
      <c r="C52" s="76"/>
      <c r="D52" s="76"/>
      <c r="E52" s="77"/>
      <c r="F52" s="34"/>
      <c r="G52" s="3"/>
      <c r="H52" s="3"/>
      <c r="I52" s="3"/>
      <c r="J52" s="66"/>
      <c r="K52" s="66"/>
      <c r="L52" s="3">
        <f t="shared" si="35"/>
        <v>0</v>
      </c>
      <c r="M52" s="36"/>
      <c r="N52" s="26" t="str">
        <f t="shared" si="29"/>
        <v/>
      </c>
      <c r="O52" s="26" t="str">
        <f t="shared" si="30"/>
        <v/>
      </c>
      <c r="P52" s="26" t="str">
        <f t="shared" si="31"/>
        <v/>
      </c>
      <c r="Q52" s="26" t="str">
        <f t="shared" si="32"/>
        <v/>
      </c>
      <c r="R52" s="26" t="str">
        <f t="shared" si="33"/>
        <v/>
      </c>
      <c r="S52" s="26">
        <f t="shared" si="34"/>
        <v>0</v>
      </c>
      <c r="T52" s="36"/>
      <c r="U52" s="2"/>
      <c r="V52" s="2"/>
      <c r="W52" s="2"/>
      <c r="X52" s="65"/>
      <c r="Y52" s="65"/>
      <c r="Z52" s="2"/>
    </row>
    <row r="53" spans="1:26" s="55" customFormat="1" ht="14.25" customHeight="1" x14ac:dyDescent="0.2">
      <c r="A53" s="12"/>
      <c r="B53" s="75" t="s">
        <v>159</v>
      </c>
      <c r="C53" s="76"/>
      <c r="D53" s="76"/>
      <c r="E53" s="77"/>
      <c r="F53" s="34"/>
      <c r="G53" s="3"/>
      <c r="H53" s="3"/>
      <c r="I53" s="3"/>
      <c r="J53" s="66"/>
      <c r="K53" s="66"/>
      <c r="L53" s="3">
        <f t="shared" si="35"/>
        <v>0</v>
      </c>
      <c r="M53" s="36"/>
      <c r="N53" s="26" t="str">
        <f t="shared" si="29"/>
        <v/>
      </c>
      <c r="O53" s="26" t="str">
        <f t="shared" si="30"/>
        <v/>
      </c>
      <c r="P53" s="26" t="str">
        <f t="shared" si="31"/>
        <v/>
      </c>
      <c r="Q53" s="26" t="str">
        <f t="shared" si="32"/>
        <v/>
      </c>
      <c r="R53" s="26" t="str">
        <f t="shared" si="33"/>
        <v/>
      </c>
      <c r="S53" s="26">
        <f t="shared" si="34"/>
        <v>0</v>
      </c>
      <c r="T53" s="36"/>
      <c r="U53" s="2"/>
      <c r="V53" s="2"/>
      <c r="W53" s="2"/>
      <c r="X53" s="65"/>
      <c r="Y53" s="65"/>
      <c r="Z53" s="2"/>
    </row>
    <row r="54" spans="1:26" s="55" customFormat="1" ht="14.25" customHeight="1" x14ac:dyDescent="0.2">
      <c r="A54" s="12"/>
      <c r="B54" s="75" t="s">
        <v>271</v>
      </c>
      <c r="C54" s="76"/>
      <c r="D54" s="76"/>
      <c r="E54" s="77"/>
      <c r="F54" s="34"/>
      <c r="G54" s="3"/>
      <c r="H54" s="3"/>
      <c r="I54" s="3"/>
      <c r="J54" s="66"/>
      <c r="K54" s="66"/>
      <c r="L54" s="3">
        <f t="shared" si="35"/>
        <v>0</v>
      </c>
      <c r="M54" s="36"/>
      <c r="N54" s="26" t="str">
        <f t="shared" si="29"/>
        <v/>
      </c>
      <c r="O54" s="26" t="str">
        <f t="shared" si="30"/>
        <v/>
      </c>
      <c r="P54" s="26" t="str">
        <f t="shared" si="31"/>
        <v/>
      </c>
      <c r="Q54" s="26" t="str">
        <f t="shared" si="32"/>
        <v/>
      </c>
      <c r="R54" s="26" t="str">
        <f t="shared" si="33"/>
        <v/>
      </c>
      <c r="S54" s="26">
        <f t="shared" si="34"/>
        <v>0</v>
      </c>
      <c r="T54" s="36"/>
      <c r="U54" s="2"/>
      <c r="V54" s="2"/>
      <c r="W54" s="2"/>
      <c r="X54" s="65"/>
      <c r="Y54" s="65"/>
      <c r="Z54" s="2"/>
    </row>
    <row r="55" spans="1:26" s="55" customFormat="1" ht="14.25" customHeight="1" x14ac:dyDescent="0.2">
      <c r="A55" s="12"/>
      <c r="B55" s="75" t="s">
        <v>272</v>
      </c>
      <c r="C55" s="76"/>
      <c r="D55" s="76"/>
      <c r="E55" s="77"/>
      <c r="F55" s="34"/>
      <c r="G55" s="3"/>
      <c r="H55" s="3"/>
      <c r="I55" s="3"/>
      <c r="J55" s="66"/>
      <c r="K55" s="66"/>
      <c r="L55" s="3">
        <f t="shared" si="35"/>
        <v>0</v>
      </c>
      <c r="M55" s="36"/>
      <c r="N55" s="26" t="str">
        <f t="shared" si="29"/>
        <v/>
      </c>
      <c r="O55" s="26" t="str">
        <f t="shared" si="30"/>
        <v/>
      </c>
      <c r="P55" s="26" t="str">
        <f t="shared" si="31"/>
        <v/>
      </c>
      <c r="Q55" s="26" t="str">
        <f t="shared" si="32"/>
        <v/>
      </c>
      <c r="R55" s="26" t="str">
        <f t="shared" si="33"/>
        <v/>
      </c>
      <c r="S55" s="26">
        <f t="shared" si="34"/>
        <v>0</v>
      </c>
      <c r="T55" s="36"/>
      <c r="U55" s="2"/>
      <c r="V55" s="2"/>
      <c r="W55" s="2"/>
      <c r="X55" s="65"/>
      <c r="Y55" s="65"/>
      <c r="Z55" s="2"/>
    </row>
    <row r="56" spans="1:26" s="55" customFormat="1" ht="14.25" customHeight="1" x14ac:dyDescent="0.2">
      <c r="A56" s="12"/>
      <c r="B56" s="75" t="s">
        <v>240</v>
      </c>
      <c r="C56" s="76"/>
      <c r="D56" s="76"/>
      <c r="E56" s="77"/>
      <c r="F56" s="34"/>
      <c r="G56" s="3"/>
      <c r="H56" s="3"/>
      <c r="I56" s="3"/>
      <c r="J56" s="66"/>
      <c r="K56" s="66"/>
      <c r="L56" s="3">
        <f t="shared" si="35"/>
        <v>0</v>
      </c>
      <c r="M56" s="36"/>
      <c r="N56" s="26" t="str">
        <f t="shared" si="29"/>
        <v/>
      </c>
      <c r="O56" s="26" t="str">
        <f t="shared" si="30"/>
        <v/>
      </c>
      <c r="P56" s="26" t="str">
        <f t="shared" si="31"/>
        <v/>
      </c>
      <c r="Q56" s="26" t="str">
        <f t="shared" si="32"/>
        <v/>
      </c>
      <c r="R56" s="26" t="str">
        <f t="shared" si="33"/>
        <v/>
      </c>
      <c r="S56" s="26">
        <f t="shared" si="34"/>
        <v>0</v>
      </c>
      <c r="T56" s="36"/>
      <c r="U56" s="2"/>
      <c r="V56" s="2"/>
      <c r="W56" s="2"/>
      <c r="X56" s="65"/>
      <c r="Y56" s="65"/>
      <c r="Z56" s="2"/>
    </row>
    <row r="57" spans="1:26" s="55" customFormat="1" ht="14.25" customHeight="1" x14ac:dyDescent="0.2">
      <c r="A57" s="12"/>
      <c r="B57" s="75" t="s">
        <v>129</v>
      </c>
      <c r="C57" s="76"/>
      <c r="D57" s="76"/>
      <c r="E57" s="77"/>
      <c r="F57" s="34"/>
      <c r="G57" s="3"/>
      <c r="H57" s="3"/>
      <c r="I57" s="3"/>
      <c r="J57" s="66"/>
      <c r="K57" s="66"/>
      <c r="L57" s="3">
        <f t="shared" si="35"/>
        <v>0</v>
      </c>
      <c r="M57" s="36"/>
      <c r="N57" s="26" t="str">
        <f t="shared" si="29"/>
        <v/>
      </c>
      <c r="O57" s="26" t="str">
        <f t="shared" si="30"/>
        <v/>
      </c>
      <c r="P57" s="26" t="str">
        <f t="shared" si="31"/>
        <v/>
      </c>
      <c r="Q57" s="26" t="str">
        <f t="shared" si="32"/>
        <v/>
      </c>
      <c r="R57" s="26" t="str">
        <f t="shared" si="33"/>
        <v/>
      </c>
      <c r="S57" s="26">
        <f t="shared" si="34"/>
        <v>0</v>
      </c>
      <c r="T57" s="36"/>
      <c r="U57" s="2"/>
      <c r="V57" s="2"/>
      <c r="W57" s="2"/>
      <c r="X57" s="65"/>
      <c r="Y57" s="65"/>
      <c r="Z57" s="2"/>
    </row>
    <row r="58" spans="1:26" s="55" customFormat="1" ht="14.25" customHeight="1" x14ac:dyDescent="0.2">
      <c r="A58" s="12"/>
      <c r="B58" s="117" t="s">
        <v>32</v>
      </c>
      <c r="C58" s="118"/>
      <c r="D58" s="83"/>
      <c r="E58" s="84"/>
      <c r="F58" s="37"/>
      <c r="G58" s="3"/>
      <c r="H58" s="3"/>
      <c r="I58" s="3"/>
      <c r="J58" s="66"/>
      <c r="K58" s="66"/>
      <c r="L58" s="3">
        <f t="shared" si="35"/>
        <v>0</v>
      </c>
      <c r="M58" s="36"/>
      <c r="N58" s="26" t="str">
        <f t="shared" ref="N58:S58" si="36">IFERROR(G58/G$59,"")</f>
        <v/>
      </c>
      <c r="O58" s="26" t="str">
        <f t="shared" si="36"/>
        <v/>
      </c>
      <c r="P58" s="26" t="str">
        <f t="shared" si="36"/>
        <v/>
      </c>
      <c r="Q58" s="26" t="str">
        <f t="shared" si="36"/>
        <v/>
      </c>
      <c r="R58" s="26" t="str">
        <f t="shared" si="36"/>
        <v/>
      </c>
      <c r="S58" s="26">
        <f t="shared" si="36"/>
        <v>0</v>
      </c>
      <c r="T58" s="36"/>
      <c r="U58" s="2"/>
      <c r="V58" s="2"/>
      <c r="W58" s="2"/>
      <c r="X58" s="65"/>
      <c r="Y58" s="65"/>
      <c r="Z58" s="2"/>
    </row>
    <row r="59" spans="1:26" s="55" customFormat="1" ht="14.25" customHeight="1" x14ac:dyDescent="0.2">
      <c r="A59" s="12"/>
      <c r="B59" s="85" t="s">
        <v>15</v>
      </c>
      <c r="C59" s="86"/>
      <c r="D59" s="86"/>
      <c r="E59" s="87"/>
      <c r="F59" s="18"/>
      <c r="G59" s="7">
        <f t="shared" ref="G59:L59" si="37">SUM(G39:G58)</f>
        <v>0</v>
      </c>
      <c r="H59" s="7">
        <f t="shared" si="37"/>
        <v>0</v>
      </c>
      <c r="I59" s="7">
        <f t="shared" si="37"/>
        <v>0</v>
      </c>
      <c r="J59" s="7">
        <f t="shared" si="37"/>
        <v>0</v>
      </c>
      <c r="K59" s="7">
        <f t="shared" si="37"/>
        <v>0</v>
      </c>
      <c r="L59" s="7">
        <f t="shared" si="37"/>
        <v>90</v>
      </c>
      <c r="M59" s="5"/>
      <c r="N59" s="57">
        <f t="shared" ref="N59:S59" si="38">SUM(N39:N58)</f>
        <v>0</v>
      </c>
      <c r="O59" s="57">
        <f t="shared" si="38"/>
        <v>0</v>
      </c>
      <c r="P59" s="57">
        <f t="shared" si="38"/>
        <v>0</v>
      </c>
      <c r="Q59" s="57">
        <f t="shared" si="38"/>
        <v>0</v>
      </c>
      <c r="R59" s="57">
        <f t="shared" si="38"/>
        <v>0</v>
      </c>
      <c r="S59" s="57">
        <f t="shared" si="38"/>
        <v>1</v>
      </c>
      <c r="T59" s="5"/>
      <c r="U59" s="32"/>
      <c r="V59" s="32"/>
      <c r="W59" s="32"/>
      <c r="X59" s="32"/>
      <c r="Y59" s="32"/>
      <c r="Z59" s="32"/>
    </row>
    <row r="60" spans="1:26" s="55" customFormat="1" ht="14.25" customHeight="1" x14ac:dyDescent="0.2">
      <c r="A60" s="12"/>
      <c r="B60" s="10" t="s">
        <v>31</v>
      </c>
      <c r="C60" s="5"/>
      <c r="D60" s="5"/>
      <c r="E60" s="5"/>
      <c r="F60" s="5"/>
      <c r="G60" s="52" t="s">
        <v>137</v>
      </c>
      <c r="H60" s="52" t="s">
        <v>137</v>
      </c>
      <c r="I60" s="52" t="s">
        <v>137</v>
      </c>
      <c r="J60" s="52" t="s">
        <v>26</v>
      </c>
      <c r="K60" s="52" t="s">
        <v>26</v>
      </c>
      <c r="L60" s="52" t="s">
        <v>26</v>
      </c>
      <c r="M60" s="6"/>
      <c r="N60" s="52" t="s">
        <v>137</v>
      </c>
      <c r="O60" s="52" t="s">
        <v>137</v>
      </c>
      <c r="P60" s="52" t="s">
        <v>137</v>
      </c>
      <c r="Q60" s="52" t="s">
        <v>26</v>
      </c>
      <c r="R60" s="52" t="s">
        <v>26</v>
      </c>
      <c r="S60" s="52" t="s">
        <v>26</v>
      </c>
      <c r="T60" s="5"/>
      <c r="U60" s="52" t="s">
        <v>137</v>
      </c>
      <c r="V60" s="52" t="s">
        <v>137</v>
      </c>
      <c r="W60" s="52" t="s">
        <v>137</v>
      </c>
      <c r="X60" s="52" t="s">
        <v>26</v>
      </c>
      <c r="Y60" s="52" t="s">
        <v>26</v>
      </c>
      <c r="Z60" s="52" t="s">
        <v>26</v>
      </c>
    </row>
    <row r="61" spans="1:26" s="55" customFormat="1" ht="14.25" customHeight="1" x14ac:dyDescent="0.2">
      <c r="A61" s="12"/>
      <c r="B61" s="78" t="s">
        <v>53</v>
      </c>
      <c r="C61" s="79"/>
      <c r="D61" s="79"/>
      <c r="E61" s="80"/>
      <c r="F61" s="23" t="s">
        <v>47</v>
      </c>
      <c r="G61" s="13">
        <v>2025</v>
      </c>
      <c r="H61" s="13" t="s">
        <v>262</v>
      </c>
      <c r="I61" s="13" t="s">
        <v>263</v>
      </c>
      <c r="J61" s="13" t="s">
        <v>264</v>
      </c>
      <c r="K61" s="13" t="s">
        <v>265</v>
      </c>
      <c r="L61" s="13">
        <v>2026</v>
      </c>
      <c r="M61" s="5"/>
      <c r="N61" s="13">
        <v>2025</v>
      </c>
      <c r="O61" s="13" t="s">
        <v>262</v>
      </c>
      <c r="P61" s="13" t="s">
        <v>263</v>
      </c>
      <c r="Q61" s="13" t="s">
        <v>264</v>
      </c>
      <c r="R61" s="13" t="s">
        <v>265</v>
      </c>
      <c r="S61" s="13">
        <v>2026</v>
      </c>
      <c r="T61" s="5"/>
      <c r="U61" s="13">
        <v>2025</v>
      </c>
      <c r="V61" s="13" t="s">
        <v>262</v>
      </c>
      <c r="W61" s="13" t="s">
        <v>263</v>
      </c>
      <c r="X61" s="13" t="s">
        <v>264</v>
      </c>
      <c r="Y61" s="13" t="s">
        <v>265</v>
      </c>
      <c r="Z61" s="13">
        <v>2026</v>
      </c>
    </row>
    <row r="62" spans="1:26" s="55" customFormat="1" ht="14.25" customHeight="1" x14ac:dyDescent="0.2">
      <c r="A62" s="12"/>
      <c r="B62" s="75" t="s">
        <v>23</v>
      </c>
      <c r="C62" s="76"/>
      <c r="D62" s="76"/>
      <c r="E62" s="77"/>
      <c r="F62" s="34"/>
      <c r="G62" s="3"/>
      <c r="H62" s="3"/>
      <c r="I62" s="3"/>
      <c r="J62" s="66"/>
      <c r="K62" s="66"/>
      <c r="L62" s="3">
        <v>250</v>
      </c>
      <c r="M62" s="36"/>
      <c r="N62" s="26" t="str">
        <f t="shared" ref="N62:O66" si="39">IFERROR(G62/G$82,"")</f>
        <v/>
      </c>
      <c r="O62" s="26" t="str">
        <f t="shared" si="39"/>
        <v/>
      </c>
      <c r="P62" s="26" t="str">
        <f t="shared" ref="P62:R77" si="40">IFERROR(I62/I$82,"")</f>
        <v/>
      </c>
      <c r="Q62" s="26" t="str">
        <f t="shared" si="40"/>
        <v/>
      </c>
      <c r="R62" s="26" t="str">
        <f t="shared" si="40"/>
        <v/>
      </c>
      <c r="S62" s="26">
        <f>IFERROR(L62/L$82,"")</f>
        <v>0.49115913555992141</v>
      </c>
      <c r="T62" s="36"/>
      <c r="U62" s="2"/>
      <c r="V62" s="2"/>
      <c r="W62" s="2"/>
      <c r="X62" s="65"/>
      <c r="Y62" s="65"/>
      <c r="Z62" s="2"/>
    </row>
    <row r="63" spans="1:26" s="55" customFormat="1" ht="14.25" customHeight="1" x14ac:dyDescent="0.2">
      <c r="A63" s="12"/>
      <c r="B63" s="75" t="s">
        <v>156</v>
      </c>
      <c r="C63" s="76"/>
      <c r="D63" s="76"/>
      <c r="E63" s="77"/>
      <c r="F63" s="34"/>
      <c r="G63" s="3"/>
      <c r="H63" s="3"/>
      <c r="I63" s="3"/>
      <c r="J63" s="66"/>
      <c r="K63" s="66"/>
      <c r="L63" s="3">
        <v>150</v>
      </c>
      <c r="M63" s="36"/>
      <c r="N63" s="26" t="str">
        <f t="shared" si="39"/>
        <v/>
      </c>
      <c r="O63" s="26" t="str">
        <f t="shared" si="39"/>
        <v/>
      </c>
      <c r="P63" s="26" t="str">
        <f t="shared" si="40"/>
        <v/>
      </c>
      <c r="Q63" s="26" t="str">
        <f t="shared" si="40"/>
        <v/>
      </c>
      <c r="R63" s="26" t="str">
        <f t="shared" si="40"/>
        <v/>
      </c>
      <c r="S63" s="26">
        <f>IFERROR(L63/L$82,"")</f>
        <v>0.29469548133595286</v>
      </c>
      <c r="T63" s="36"/>
      <c r="U63" s="2"/>
      <c r="V63" s="2"/>
      <c r="W63" s="2"/>
      <c r="X63" s="65"/>
      <c r="Y63" s="65"/>
      <c r="Z63" s="2"/>
    </row>
    <row r="64" spans="1:26" s="55" customFormat="1" ht="14.25" customHeight="1" x14ac:dyDescent="0.2">
      <c r="A64" s="12"/>
      <c r="B64" s="75" t="s">
        <v>49</v>
      </c>
      <c r="C64" s="76"/>
      <c r="D64" s="76"/>
      <c r="E64" s="77"/>
      <c r="F64" s="34"/>
      <c r="G64" s="3"/>
      <c r="H64" s="3"/>
      <c r="I64" s="3"/>
      <c r="J64" s="66"/>
      <c r="K64" s="66"/>
      <c r="L64" s="3">
        <v>20</v>
      </c>
      <c r="M64" s="36"/>
      <c r="N64" s="26" t="str">
        <f t="shared" si="39"/>
        <v/>
      </c>
      <c r="O64" s="26" t="str">
        <f t="shared" si="39"/>
        <v/>
      </c>
      <c r="P64" s="26" t="str">
        <f t="shared" si="40"/>
        <v/>
      </c>
      <c r="Q64" s="26" t="str">
        <f t="shared" si="40"/>
        <v/>
      </c>
      <c r="R64" s="26" t="str">
        <f t="shared" si="40"/>
        <v/>
      </c>
      <c r="S64" s="26">
        <f>IFERROR(L64/L$82,"")</f>
        <v>3.9292730844793712E-2</v>
      </c>
      <c r="T64" s="36"/>
      <c r="U64" s="2"/>
      <c r="V64" s="2"/>
      <c r="W64" s="2"/>
      <c r="X64" s="65"/>
      <c r="Y64" s="65"/>
      <c r="Z64" s="2"/>
    </row>
    <row r="65" spans="1:26" s="55" customFormat="1" ht="14.25" customHeight="1" x14ac:dyDescent="0.2">
      <c r="A65" s="12"/>
      <c r="B65" s="75" t="s">
        <v>157</v>
      </c>
      <c r="C65" s="76"/>
      <c r="D65" s="76"/>
      <c r="E65" s="77"/>
      <c r="F65" s="34"/>
      <c r="G65" s="3"/>
      <c r="H65" s="3"/>
      <c r="I65" s="3"/>
      <c r="J65" s="66"/>
      <c r="K65" s="66"/>
      <c r="L65" s="3">
        <v>10</v>
      </c>
      <c r="M65" s="36"/>
      <c r="N65" s="26" t="str">
        <f t="shared" si="39"/>
        <v/>
      </c>
      <c r="O65" s="26" t="str">
        <f t="shared" si="39"/>
        <v/>
      </c>
      <c r="P65" s="26" t="str">
        <f t="shared" si="40"/>
        <v/>
      </c>
      <c r="Q65" s="26" t="str">
        <f t="shared" si="40"/>
        <v/>
      </c>
      <c r="R65" s="26" t="str">
        <f t="shared" si="40"/>
        <v/>
      </c>
      <c r="S65" s="26">
        <f>IFERROR(L65/L$82,"")</f>
        <v>1.9646365422396856E-2</v>
      </c>
      <c r="T65" s="36"/>
      <c r="U65" s="2"/>
      <c r="V65" s="2"/>
      <c r="W65" s="2"/>
      <c r="X65" s="65"/>
      <c r="Y65" s="65"/>
      <c r="Z65" s="2"/>
    </row>
    <row r="66" spans="1:26" s="55" customFormat="1" ht="14.25" customHeight="1" x14ac:dyDescent="0.2">
      <c r="A66" s="12"/>
      <c r="B66" s="75" t="s">
        <v>158</v>
      </c>
      <c r="C66" s="76"/>
      <c r="D66" s="76"/>
      <c r="E66" s="77"/>
      <c r="F66" s="34"/>
      <c r="G66" s="3"/>
      <c r="H66" s="3"/>
      <c r="I66" s="3"/>
      <c r="J66" s="66"/>
      <c r="K66" s="66"/>
      <c r="L66" s="3">
        <f t="shared" ref="L63:L81" si="41">SUM(H66:K66)</f>
        <v>0</v>
      </c>
      <c r="M66" s="36"/>
      <c r="N66" s="26" t="str">
        <f t="shared" si="39"/>
        <v/>
      </c>
      <c r="O66" s="26" t="str">
        <f t="shared" si="39"/>
        <v/>
      </c>
      <c r="P66" s="26" t="str">
        <f t="shared" si="40"/>
        <v/>
      </c>
      <c r="Q66" s="26" t="str">
        <f t="shared" si="40"/>
        <v/>
      </c>
      <c r="R66" s="26" t="str">
        <f t="shared" si="40"/>
        <v/>
      </c>
      <c r="S66" s="26">
        <f>IFERROR(L66/L$82,"")</f>
        <v>0</v>
      </c>
      <c r="T66" s="36"/>
      <c r="U66" s="2"/>
      <c r="V66" s="2"/>
      <c r="W66" s="2"/>
      <c r="X66" s="65"/>
      <c r="Y66" s="65"/>
      <c r="Z66" s="2"/>
    </row>
    <row r="67" spans="1:26" s="55" customFormat="1" ht="14.25" customHeight="1" x14ac:dyDescent="0.2">
      <c r="A67" s="12"/>
      <c r="B67" s="75" t="s">
        <v>41</v>
      </c>
      <c r="C67" s="76"/>
      <c r="D67" s="76"/>
      <c r="E67" s="77"/>
      <c r="F67" s="34"/>
      <c r="G67" s="3"/>
      <c r="H67" s="3"/>
      <c r="I67" s="3"/>
      <c r="J67" s="66"/>
      <c r="K67" s="66"/>
      <c r="L67" s="3">
        <f t="shared" si="41"/>
        <v>0</v>
      </c>
      <c r="M67" s="36"/>
      <c r="N67" s="26" t="str">
        <f t="shared" ref="N67:N81" si="42">IFERROR(G67/G$82,"")</f>
        <v/>
      </c>
      <c r="O67" s="26" t="str">
        <f t="shared" ref="O67:O81" si="43">IFERROR(H67/H$82,"")</f>
        <v/>
      </c>
      <c r="P67" s="26" t="str">
        <f t="shared" si="40"/>
        <v/>
      </c>
      <c r="Q67" s="26" t="str">
        <f t="shared" si="40"/>
        <v/>
      </c>
      <c r="R67" s="26" t="str">
        <f t="shared" si="40"/>
        <v/>
      </c>
      <c r="S67" s="26">
        <f t="shared" ref="S67:S81" si="44">IFERROR(L67/L$82,"")</f>
        <v>0</v>
      </c>
      <c r="T67" s="36"/>
      <c r="U67" s="2"/>
      <c r="V67" s="2"/>
      <c r="W67" s="2"/>
      <c r="X67" s="65"/>
      <c r="Y67" s="65"/>
      <c r="Z67" s="2"/>
    </row>
    <row r="68" spans="1:26" s="55" customFormat="1" ht="14.25" customHeight="1" x14ac:dyDescent="0.2">
      <c r="A68" s="12"/>
      <c r="B68" s="75" t="s">
        <v>143</v>
      </c>
      <c r="C68" s="76"/>
      <c r="D68" s="76"/>
      <c r="E68" s="77"/>
      <c r="F68" s="34"/>
      <c r="G68" s="3"/>
      <c r="H68" s="3"/>
      <c r="I68" s="3"/>
      <c r="J68" s="66"/>
      <c r="K68" s="66"/>
      <c r="L68" s="3">
        <f t="shared" si="41"/>
        <v>0</v>
      </c>
      <c r="M68" s="36"/>
      <c r="N68" s="26" t="str">
        <f t="shared" si="42"/>
        <v/>
      </c>
      <c r="O68" s="26" t="str">
        <f t="shared" si="43"/>
        <v/>
      </c>
      <c r="P68" s="26" t="str">
        <f t="shared" si="40"/>
        <v/>
      </c>
      <c r="Q68" s="26" t="str">
        <f t="shared" si="40"/>
        <v/>
      </c>
      <c r="R68" s="26" t="str">
        <f t="shared" si="40"/>
        <v/>
      </c>
      <c r="S68" s="26">
        <f t="shared" si="44"/>
        <v>0</v>
      </c>
      <c r="T68" s="36"/>
      <c r="U68" s="2"/>
      <c r="V68" s="2"/>
      <c r="W68" s="2"/>
      <c r="X68" s="65"/>
      <c r="Y68" s="65"/>
      <c r="Z68" s="2"/>
    </row>
    <row r="69" spans="1:26" s="55" customFormat="1" ht="14.25" customHeight="1" x14ac:dyDescent="0.2">
      <c r="A69" s="12"/>
      <c r="B69" s="75" t="s">
        <v>144</v>
      </c>
      <c r="C69" s="76"/>
      <c r="D69" s="76"/>
      <c r="E69" s="77"/>
      <c r="F69" s="34"/>
      <c r="G69" s="3"/>
      <c r="H69" s="3"/>
      <c r="I69" s="3"/>
      <c r="J69" s="66"/>
      <c r="K69" s="66"/>
      <c r="L69" s="3">
        <f t="shared" si="41"/>
        <v>0</v>
      </c>
      <c r="M69" s="36"/>
      <c r="N69" s="26" t="str">
        <f t="shared" si="42"/>
        <v/>
      </c>
      <c r="O69" s="26" t="str">
        <f t="shared" si="43"/>
        <v/>
      </c>
      <c r="P69" s="26" t="str">
        <f t="shared" si="40"/>
        <v/>
      </c>
      <c r="Q69" s="26" t="str">
        <f t="shared" si="40"/>
        <v/>
      </c>
      <c r="R69" s="26" t="str">
        <f t="shared" si="40"/>
        <v/>
      </c>
      <c r="S69" s="26">
        <f t="shared" si="44"/>
        <v>0</v>
      </c>
      <c r="T69" s="36"/>
      <c r="U69" s="2"/>
      <c r="V69" s="2"/>
      <c r="W69" s="2"/>
      <c r="X69" s="65"/>
      <c r="Y69" s="65"/>
      <c r="Z69" s="2"/>
    </row>
    <row r="70" spans="1:26" s="55" customFormat="1" ht="14.25" customHeight="1" x14ac:dyDescent="0.2">
      <c r="A70" s="12"/>
      <c r="B70" s="75" t="s">
        <v>145</v>
      </c>
      <c r="C70" s="76"/>
      <c r="D70" s="76"/>
      <c r="E70" s="77"/>
      <c r="F70" s="34"/>
      <c r="G70" s="3"/>
      <c r="H70" s="3"/>
      <c r="I70" s="3"/>
      <c r="J70" s="66"/>
      <c r="K70" s="66"/>
      <c r="L70" s="3">
        <v>5</v>
      </c>
      <c r="M70" s="36"/>
      <c r="N70" s="26" t="str">
        <f t="shared" si="42"/>
        <v/>
      </c>
      <c r="O70" s="26" t="str">
        <f t="shared" si="43"/>
        <v/>
      </c>
      <c r="P70" s="26" t="str">
        <f t="shared" si="40"/>
        <v/>
      </c>
      <c r="Q70" s="26" t="str">
        <f t="shared" si="40"/>
        <v/>
      </c>
      <c r="R70" s="26" t="str">
        <f t="shared" si="40"/>
        <v/>
      </c>
      <c r="S70" s="26">
        <f t="shared" si="44"/>
        <v>9.823182711198428E-3</v>
      </c>
      <c r="T70" s="36"/>
      <c r="U70" s="2"/>
      <c r="V70" s="2"/>
      <c r="W70" s="2"/>
      <c r="X70" s="65"/>
      <c r="Y70" s="65"/>
      <c r="Z70" s="2"/>
    </row>
    <row r="71" spans="1:26" s="55" customFormat="1" ht="14.25" customHeight="1" x14ac:dyDescent="0.2">
      <c r="A71" s="12"/>
      <c r="B71" s="75" t="s">
        <v>146</v>
      </c>
      <c r="C71" s="76"/>
      <c r="D71" s="76"/>
      <c r="E71" s="77"/>
      <c r="F71" s="34"/>
      <c r="G71" s="3"/>
      <c r="H71" s="3"/>
      <c r="I71" s="3"/>
      <c r="J71" s="66"/>
      <c r="K71" s="66"/>
      <c r="L71" s="3">
        <v>10</v>
      </c>
      <c r="M71" s="36"/>
      <c r="N71" s="26" t="str">
        <f t="shared" si="42"/>
        <v/>
      </c>
      <c r="O71" s="26" t="str">
        <f t="shared" si="43"/>
        <v/>
      </c>
      <c r="P71" s="26" t="str">
        <f t="shared" si="40"/>
        <v/>
      </c>
      <c r="Q71" s="26" t="str">
        <f t="shared" si="40"/>
        <v/>
      </c>
      <c r="R71" s="26" t="str">
        <f t="shared" si="40"/>
        <v/>
      </c>
      <c r="S71" s="26">
        <f t="shared" si="44"/>
        <v>1.9646365422396856E-2</v>
      </c>
      <c r="T71" s="36"/>
      <c r="U71" s="2"/>
      <c r="V71" s="2"/>
      <c r="W71" s="2"/>
      <c r="X71" s="65"/>
      <c r="Y71" s="65"/>
      <c r="Z71" s="2"/>
    </row>
    <row r="72" spans="1:26" s="55" customFormat="1" ht="14.25" customHeight="1" x14ac:dyDescent="0.2">
      <c r="A72" s="12"/>
      <c r="B72" s="75" t="s">
        <v>22</v>
      </c>
      <c r="C72" s="76"/>
      <c r="D72" s="76"/>
      <c r="E72" s="77"/>
      <c r="F72" s="34"/>
      <c r="G72" s="3"/>
      <c r="H72" s="3"/>
      <c r="I72" s="3"/>
      <c r="J72" s="66"/>
      <c r="K72" s="66"/>
      <c r="L72" s="3">
        <v>30</v>
      </c>
      <c r="M72" s="36"/>
      <c r="N72" s="26" t="str">
        <f t="shared" si="42"/>
        <v/>
      </c>
      <c r="O72" s="26" t="str">
        <f t="shared" si="43"/>
        <v/>
      </c>
      <c r="P72" s="26" t="str">
        <f t="shared" si="40"/>
        <v/>
      </c>
      <c r="Q72" s="26" t="str">
        <f t="shared" si="40"/>
        <v/>
      </c>
      <c r="R72" s="26" t="str">
        <f t="shared" si="40"/>
        <v/>
      </c>
      <c r="S72" s="26">
        <f t="shared" si="44"/>
        <v>5.8939096267190572E-2</v>
      </c>
      <c r="T72" s="36"/>
      <c r="U72" s="2"/>
      <c r="V72" s="2"/>
      <c r="W72" s="2"/>
      <c r="X72" s="65"/>
      <c r="Y72" s="65"/>
      <c r="Z72" s="2"/>
    </row>
    <row r="73" spans="1:26" s="55" customFormat="1" ht="14.25" customHeight="1" x14ac:dyDescent="0.2">
      <c r="A73" s="12"/>
      <c r="B73" s="75" t="s">
        <v>130</v>
      </c>
      <c r="C73" s="76"/>
      <c r="D73" s="76"/>
      <c r="E73" s="77"/>
      <c r="F73" s="34"/>
      <c r="G73" s="3"/>
      <c r="H73" s="3"/>
      <c r="I73" s="3"/>
      <c r="J73" s="66"/>
      <c r="K73" s="66"/>
      <c r="L73" s="3">
        <f t="shared" si="41"/>
        <v>0</v>
      </c>
      <c r="M73" s="36"/>
      <c r="N73" s="26" t="str">
        <f t="shared" si="42"/>
        <v/>
      </c>
      <c r="O73" s="26" t="str">
        <f t="shared" si="43"/>
        <v/>
      </c>
      <c r="P73" s="26" t="str">
        <f t="shared" si="40"/>
        <v/>
      </c>
      <c r="Q73" s="26" t="str">
        <f t="shared" si="40"/>
        <v/>
      </c>
      <c r="R73" s="26" t="str">
        <f t="shared" si="40"/>
        <v/>
      </c>
      <c r="S73" s="26">
        <f t="shared" si="44"/>
        <v>0</v>
      </c>
      <c r="T73" s="36"/>
      <c r="U73" s="2"/>
      <c r="V73" s="2"/>
      <c r="W73" s="2"/>
      <c r="X73" s="65"/>
      <c r="Y73" s="65"/>
      <c r="Z73" s="2"/>
    </row>
    <row r="74" spans="1:26" s="55" customFormat="1" ht="14.25" customHeight="1" x14ac:dyDescent="0.2">
      <c r="A74" s="12"/>
      <c r="B74" s="75" t="s">
        <v>161</v>
      </c>
      <c r="C74" s="76"/>
      <c r="D74" s="76"/>
      <c r="E74" s="77"/>
      <c r="F74" s="34"/>
      <c r="G74" s="3"/>
      <c r="H74" s="3"/>
      <c r="I74" s="3"/>
      <c r="J74" s="66"/>
      <c r="K74" s="66"/>
      <c r="L74" s="3">
        <f t="shared" si="41"/>
        <v>0</v>
      </c>
      <c r="M74" s="36"/>
      <c r="N74" s="26" t="str">
        <f t="shared" si="42"/>
        <v/>
      </c>
      <c r="O74" s="26" t="str">
        <f t="shared" si="43"/>
        <v/>
      </c>
      <c r="P74" s="26" t="str">
        <f t="shared" si="40"/>
        <v/>
      </c>
      <c r="Q74" s="26" t="str">
        <f t="shared" si="40"/>
        <v/>
      </c>
      <c r="R74" s="26" t="str">
        <f t="shared" si="40"/>
        <v/>
      </c>
      <c r="S74" s="26">
        <f t="shared" si="44"/>
        <v>0</v>
      </c>
      <c r="T74" s="36"/>
      <c r="U74" s="2"/>
      <c r="V74" s="2"/>
      <c r="W74" s="2"/>
      <c r="X74" s="65"/>
      <c r="Y74" s="65"/>
      <c r="Z74" s="2"/>
    </row>
    <row r="75" spans="1:26" s="55" customFormat="1" ht="14.25" customHeight="1" x14ac:dyDescent="0.2">
      <c r="A75" s="12"/>
      <c r="B75" s="75" t="s">
        <v>162</v>
      </c>
      <c r="C75" s="76"/>
      <c r="D75" s="76"/>
      <c r="E75" s="77"/>
      <c r="F75" s="34"/>
      <c r="G75" s="3"/>
      <c r="H75" s="3"/>
      <c r="I75" s="3"/>
      <c r="J75" s="66"/>
      <c r="K75" s="66"/>
      <c r="L75" s="3">
        <v>34</v>
      </c>
      <c r="M75" s="36"/>
      <c r="N75" s="26" t="str">
        <f t="shared" si="42"/>
        <v/>
      </c>
      <c r="O75" s="26" t="str">
        <f t="shared" si="43"/>
        <v/>
      </c>
      <c r="P75" s="26" t="str">
        <f t="shared" si="40"/>
        <v/>
      </c>
      <c r="Q75" s="26" t="str">
        <f t="shared" si="40"/>
        <v/>
      </c>
      <c r="R75" s="26" t="str">
        <f t="shared" si="40"/>
        <v/>
      </c>
      <c r="S75" s="26">
        <f t="shared" si="44"/>
        <v>6.6797642436149315E-2</v>
      </c>
      <c r="T75" s="36"/>
      <c r="U75" s="2"/>
      <c r="V75" s="2"/>
      <c r="W75" s="2"/>
      <c r="X75" s="65"/>
      <c r="Y75" s="65"/>
      <c r="Z75" s="2"/>
    </row>
    <row r="76" spans="1:26" s="55" customFormat="1" ht="14.25" customHeight="1" x14ac:dyDescent="0.2">
      <c r="A76" s="12"/>
      <c r="B76" s="75" t="s">
        <v>183</v>
      </c>
      <c r="C76" s="76"/>
      <c r="D76" s="76"/>
      <c r="E76" s="77"/>
      <c r="F76" s="34"/>
      <c r="G76" s="3"/>
      <c r="H76" s="3"/>
      <c r="I76" s="3"/>
      <c r="J76" s="66"/>
      <c r="K76" s="66"/>
      <c r="L76" s="3">
        <f t="shared" si="41"/>
        <v>0</v>
      </c>
      <c r="M76" s="36"/>
      <c r="N76" s="26" t="str">
        <f t="shared" si="42"/>
        <v/>
      </c>
      <c r="O76" s="26" t="str">
        <f t="shared" si="43"/>
        <v/>
      </c>
      <c r="P76" s="26" t="str">
        <f t="shared" si="40"/>
        <v/>
      </c>
      <c r="Q76" s="26" t="str">
        <f t="shared" si="40"/>
        <v/>
      </c>
      <c r="R76" s="26" t="str">
        <f t="shared" si="40"/>
        <v/>
      </c>
      <c r="S76" s="26">
        <f t="shared" si="44"/>
        <v>0</v>
      </c>
      <c r="T76" s="36"/>
      <c r="U76" s="2"/>
      <c r="V76" s="2"/>
      <c r="W76" s="2"/>
      <c r="X76" s="65"/>
      <c r="Y76" s="65"/>
      <c r="Z76" s="2"/>
    </row>
    <row r="77" spans="1:26" s="55" customFormat="1" ht="14.25" customHeight="1" x14ac:dyDescent="0.2">
      <c r="A77" s="12"/>
      <c r="B77" s="75" t="s">
        <v>184</v>
      </c>
      <c r="C77" s="76"/>
      <c r="D77" s="76"/>
      <c r="E77" s="77"/>
      <c r="F77" s="34"/>
      <c r="G77" s="3"/>
      <c r="H77" s="3"/>
      <c r="I77" s="3"/>
      <c r="J77" s="66"/>
      <c r="K77" s="66"/>
      <c r="L77" s="3">
        <f t="shared" si="41"/>
        <v>0</v>
      </c>
      <c r="M77" s="36"/>
      <c r="N77" s="26" t="str">
        <f t="shared" si="42"/>
        <v/>
      </c>
      <c r="O77" s="26" t="str">
        <f t="shared" si="43"/>
        <v/>
      </c>
      <c r="P77" s="26" t="str">
        <f t="shared" si="40"/>
        <v/>
      </c>
      <c r="Q77" s="26" t="str">
        <f t="shared" si="40"/>
        <v/>
      </c>
      <c r="R77" s="26" t="str">
        <f t="shared" si="40"/>
        <v/>
      </c>
      <c r="S77" s="26">
        <f t="shared" si="44"/>
        <v>0</v>
      </c>
      <c r="T77" s="36"/>
      <c r="U77" s="2"/>
      <c r="V77" s="2"/>
      <c r="W77" s="2"/>
      <c r="X77" s="65"/>
      <c r="Y77" s="65"/>
      <c r="Z77" s="2"/>
    </row>
    <row r="78" spans="1:26" s="55" customFormat="1" ht="14.25" customHeight="1" x14ac:dyDescent="0.2">
      <c r="A78" s="12"/>
      <c r="B78" s="75" t="s">
        <v>163</v>
      </c>
      <c r="C78" s="76"/>
      <c r="D78" s="76"/>
      <c r="E78" s="77"/>
      <c r="F78" s="34"/>
      <c r="G78" s="3"/>
      <c r="H78" s="3"/>
      <c r="I78" s="3"/>
      <c r="J78" s="66"/>
      <c r="K78" s="66"/>
      <c r="L78" s="3">
        <f t="shared" si="41"/>
        <v>0</v>
      </c>
      <c r="M78" s="36"/>
      <c r="N78" s="26" t="str">
        <f t="shared" si="42"/>
        <v/>
      </c>
      <c r="O78" s="26" t="str">
        <f t="shared" si="43"/>
        <v/>
      </c>
      <c r="P78" s="26" t="str">
        <f t="shared" ref="P78:R81" si="45">IFERROR(I78/I$82,"")</f>
        <v/>
      </c>
      <c r="Q78" s="26" t="str">
        <f t="shared" si="45"/>
        <v/>
      </c>
      <c r="R78" s="26" t="str">
        <f t="shared" si="45"/>
        <v/>
      </c>
      <c r="S78" s="26">
        <f t="shared" si="44"/>
        <v>0</v>
      </c>
      <c r="T78" s="36"/>
      <c r="U78" s="2"/>
      <c r="V78" s="2"/>
      <c r="W78" s="2"/>
      <c r="X78" s="65"/>
      <c r="Y78" s="65"/>
      <c r="Z78" s="2"/>
    </row>
    <row r="79" spans="1:26" s="55" customFormat="1" ht="14.25" customHeight="1" x14ac:dyDescent="0.2">
      <c r="A79" s="12"/>
      <c r="B79" s="75" t="s">
        <v>155</v>
      </c>
      <c r="C79" s="76"/>
      <c r="D79" s="76"/>
      <c r="E79" s="77"/>
      <c r="F79" s="34"/>
      <c r="G79" s="3"/>
      <c r="H79" s="3"/>
      <c r="I79" s="3"/>
      <c r="J79" s="66"/>
      <c r="K79" s="66"/>
      <c r="L79" s="3">
        <f t="shared" si="41"/>
        <v>0</v>
      </c>
      <c r="M79" s="36"/>
      <c r="N79" s="26" t="str">
        <f t="shared" si="42"/>
        <v/>
      </c>
      <c r="O79" s="26" t="str">
        <f t="shared" si="43"/>
        <v/>
      </c>
      <c r="P79" s="26" t="str">
        <f t="shared" si="45"/>
        <v/>
      </c>
      <c r="Q79" s="26" t="str">
        <f t="shared" si="45"/>
        <v/>
      </c>
      <c r="R79" s="26" t="str">
        <f t="shared" si="45"/>
        <v/>
      </c>
      <c r="S79" s="26">
        <f t="shared" si="44"/>
        <v>0</v>
      </c>
      <c r="T79" s="36"/>
      <c r="U79" s="2"/>
      <c r="V79" s="2"/>
      <c r="W79" s="2"/>
      <c r="X79" s="65"/>
      <c r="Y79" s="65"/>
      <c r="Z79" s="2"/>
    </row>
    <row r="80" spans="1:26" s="55" customFormat="1" ht="14.25" customHeight="1" x14ac:dyDescent="0.2">
      <c r="A80" s="12"/>
      <c r="B80" s="75" t="s">
        <v>131</v>
      </c>
      <c r="C80" s="76"/>
      <c r="D80" s="76"/>
      <c r="E80" s="77"/>
      <c r="F80" s="34"/>
      <c r="G80" s="3"/>
      <c r="H80" s="3"/>
      <c r="I80" s="3"/>
      <c r="J80" s="66"/>
      <c r="K80" s="66"/>
      <c r="L80" s="3">
        <f t="shared" si="41"/>
        <v>0</v>
      </c>
      <c r="M80" s="36"/>
      <c r="N80" s="26" t="str">
        <f t="shared" si="42"/>
        <v/>
      </c>
      <c r="O80" s="26" t="str">
        <f t="shared" si="43"/>
        <v/>
      </c>
      <c r="P80" s="26" t="str">
        <f t="shared" si="45"/>
        <v/>
      </c>
      <c r="Q80" s="26" t="str">
        <f t="shared" si="45"/>
        <v/>
      </c>
      <c r="R80" s="26" t="str">
        <f t="shared" si="45"/>
        <v/>
      </c>
      <c r="S80" s="26">
        <f t="shared" si="44"/>
        <v>0</v>
      </c>
      <c r="T80" s="36"/>
      <c r="U80" s="2"/>
      <c r="V80" s="2"/>
      <c r="W80" s="2"/>
      <c r="X80" s="65"/>
      <c r="Y80" s="65"/>
      <c r="Z80" s="2"/>
    </row>
    <row r="81" spans="1:27" s="55" customFormat="1" ht="14.25" customHeight="1" x14ac:dyDescent="0.2">
      <c r="A81" s="12"/>
      <c r="B81" s="117" t="s">
        <v>32</v>
      </c>
      <c r="C81" s="118"/>
      <c r="D81" s="83"/>
      <c r="E81" s="84"/>
      <c r="F81" s="34"/>
      <c r="G81" s="3"/>
      <c r="H81" s="3"/>
      <c r="I81" s="3"/>
      <c r="J81" s="66"/>
      <c r="K81" s="66"/>
      <c r="L81" s="3">
        <f t="shared" si="41"/>
        <v>0</v>
      </c>
      <c r="M81" s="36"/>
      <c r="N81" s="26" t="str">
        <f t="shared" si="42"/>
        <v/>
      </c>
      <c r="O81" s="26" t="str">
        <f t="shared" si="43"/>
        <v/>
      </c>
      <c r="P81" s="26" t="str">
        <f t="shared" si="45"/>
        <v/>
      </c>
      <c r="Q81" s="26" t="str">
        <f t="shared" si="45"/>
        <v/>
      </c>
      <c r="R81" s="26" t="str">
        <f t="shared" si="45"/>
        <v/>
      </c>
      <c r="S81" s="26">
        <f t="shared" si="44"/>
        <v>0</v>
      </c>
      <c r="T81" s="36"/>
      <c r="U81" s="2"/>
      <c r="V81" s="2"/>
      <c r="W81" s="2"/>
      <c r="X81" s="65"/>
      <c r="Y81" s="65"/>
      <c r="Z81" s="2"/>
    </row>
    <row r="82" spans="1:27" s="55" customFormat="1" ht="14.25" customHeight="1" x14ac:dyDescent="0.2">
      <c r="A82" s="12"/>
      <c r="B82" s="85" t="s">
        <v>29</v>
      </c>
      <c r="C82" s="86"/>
      <c r="D82" s="86"/>
      <c r="E82" s="87"/>
      <c r="F82" s="18"/>
      <c r="G82" s="7">
        <f t="shared" ref="G82:L82" si="46">SUM(G62:G81)</f>
        <v>0</v>
      </c>
      <c r="H82" s="7">
        <f t="shared" si="46"/>
        <v>0</v>
      </c>
      <c r="I82" s="7">
        <f t="shared" si="46"/>
        <v>0</v>
      </c>
      <c r="J82" s="7">
        <f t="shared" si="46"/>
        <v>0</v>
      </c>
      <c r="K82" s="7">
        <f t="shared" si="46"/>
        <v>0</v>
      </c>
      <c r="L82" s="7">
        <f t="shared" si="46"/>
        <v>509</v>
      </c>
      <c r="M82" s="5"/>
      <c r="N82" s="57">
        <f t="shared" ref="N82:S82" si="47">SUM(N62:N81)</f>
        <v>0</v>
      </c>
      <c r="O82" s="57">
        <f t="shared" si="47"/>
        <v>0</v>
      </c>
      <c r="P82" s="57">
        <f t="shared" si="47"/>
        <v>0</v>
      </c>
      <c r="Q82" s="57">
        <f t="shared" si="47"/>
        <v>0</v>
      </c>
      <c r="R82" s="57">
        <f t="shared" si="47"/>
        <v>0</v>
      </c>
      <c r="S82" s="57">
        <f t="shared" si="47"/>
        <v>0.99999999999999989</v>
      </c>
      <c r="T82" s="5"/>
      <c r="U82" s="32"/>
      <c r="V82" s="32"/>
      <c r="W82" s="32"/>
      <c r="X82" s="32"/>
      <c r="Y82" s="32"/>
      <c r="Z82" s="32"/>
    </row>
    <row r="83" spans="1:27" s="55" customFormat="1" ht="14.25" customHeight="1" x14ac:dyDescent="0.2">
      <c r="A83" s="12"/>
      <c r="B83" s="95" t="s">
        <v>59</v>
      </c>
      <c r="C83" s="95"/>
      <c r="D83" s="95"/>
      <c r="E83" s="95"/>
      <c r="F83" s="20"/>
      <c r="G83" s="52" t="s">
        <v>137</v>
      </c>
      <c r="H83" s="52" t="s">
        <v>137</v>
      </c>
      <c r="I83" s="52" t="s">
        <v>137</v>
      </c>
      <c r="J83" s="52" t="s">
        <v>26</v>
      </c>
      <c r="K83" s="52" t="s">
        <v>26</v>
      </c>
      <c r="L83" s="52" t="s">
        <v>26</v>
      </c>
      <c r="M83" s="6"/>
      <c r="N83" s="52" t="s">
        <v>137</v>
      </c>
      <c r="O83" s="52" t="s">
        <v>137</v>
      </c>
      <c r="P83" s="52" t="s">
        <v>137</v>
      </c>
      <c r="Q83" s="52" t="s">
        <v>26</v>
      </c>
      <c r="R83" s="52" t="s">
        <v>26</v>
      </c>
      <c r="S83" s="52" t="s">
        <v>26</v>
      </c>
      <c r="T83" s="5"/>
      <c r="U83" s="52" t="s">
        <v>137</v>
      </c>
      <c r="V83" s="52" t="s">
        <v>137</v>
      </c>
      <c r="W83" s="52" t="s">
        <v>137</v>
      </c>
      <c r="X83" s="52" t="s">
        <v>26</v>
      </c>
      <c r="Y83" s="52" t="s">
        <v>26</v>
      </c>
      <c r="Z83" s="52" t="s">
        <v>26</v>
      </c>
    </row>
    <row r="84" spans="1:27" s="55" customFormat="1" ht="14.25" customHeight="1" x14ac:dyDescent="0.2">
      <c r="A84" s="12"/>
      <c r="B84" s="78" t="s">
        <v>188</v>
      </c>
      <c r="C84" s="79"/>
      <c r="D84" s="79"/>
      <c r="E84" s="80"/>
      <c r="F84" s="21" t="s">
        <v>47</v>
      </c>
      <c r="G84" s="13">
        <v>2025</v>
      </c>
      <c r="H84" s="13" t="s">
        <v>262</v>
      </c>
      <c r="I84" s="13" t="s">
        <v>263</v>
      </c>
      <c r="J84" s="13" t="s">
        <v>264</v>
      </c>
      <c r="K84" s="13" t="s">
        <v>265</v>
      </c>
      <c r="L84" s="13">
        <v>2026</v>
      </c>
      <c r="M84" s="5"/>
      <c r="N84" s="13">
        <v>2025</v>
      </c>
      <c r="O84" s="13" t="s">
        <v>262</v>
      </c>
      <c r="P84" s="13" t="s">
        <v>263</v>
      </c>
      <c r="Q84" s="13" t="s">
        <v>264</v>
      </c>
      <c r="R84" s="13" t="s">
        <v>265</v>
      </c>
      <c r="S84" s="13">
        <v>2026</v>
      </c>
      <c r="T84" s="5"/>
      <c r="U84" s="13">
        <v>2025</v>
      </c>
      <c r="V84" s="13" t="s">
        <v>262</v>
      </c>
      <c r="W84" s="13" t="s">
        <v>263</v>
      </c>
      <c r="X84" s="13" t="s">
        <v>264</v>
      </c>
      <c r="Y84" s="13" t="s">
        <v>265</v>
      </c>
      <c r="Z84" s="13">
        <v>2026</v>
      </c>
    </row>
    <row r="85" spans="1:27" s="55" customFormat="1" ht="14.25" customHeight="1" x14ac:dyDescent="0.2">
      <c r="A85" s="12"/>
      <c r="B85" s="75" t="s">
        <v>167</v>
      </c>
      <c r="C85" s="76"/>
      <c r="D85" s="76"/>
      <c r="E85" s="77"/>
      <c r="F85" s="34"/>
      <c r="G85" s="3"/>
      <c r="H85" s="3"/>
      <c r="I85" s="3"/>
      <c r="J85" s="66"/>
      <c r="K85" s="66"/>
      <c r="L85" s="3">
        <v>56</v>
      </c>
      <c r="M85" s="36"/>
      <c r="N85" s="26" t="str">
        <f t="shared" ref="N85:S91" si="48">IFERROR(G85/G$95,"")</f>
        <v/>
      </c>
      <c r="O85" s="26" t="str">
        <f t="shared" si="48"/>
        <v/>
      </c>
      <c r="P85" s="26" t="str">
        <f t="shared" si="48"/>
        <v/>
      </c>
      <c r="Q85" s="26" t="str">
        <f t="shared" si="48"/>
        <v/>
      </c>
      <c r="R85" s="26" t="str">
        <f t="shared" si="48"/>
        <v/>
      </c>
      <c r="S85" s="26">
        <f t="shared" si="48"/>
        <v>0.13930348258706468</v>
      </c>
      <c r="T85" s="36"/>
      <c r="U85" s="2"/>
      <c r="V85" s="2"/>
      <c r="W85" s="2"/>
      <c r="X85" s="65"/>
      <c r="Y85" s="65"/>
      <c r="Z85" s="2"/>
    </row>
    <row r="86" spans="1:27" s="55" customFormat="1" ht="14.25" customHeight="1" x14ac:dyDescent="0.2">
      <c r="A86" s="12"/>
      <c r="B86" s="75" t="s">
        <v>187</v>
      </c>
      <c r="C86" s="76"/>
      <c r="D86" s="76"/>
      <c r="E86" s="77"/>
      <c r="F86" s="34"/>
      <c r="G86" s="3"/>
      <c r="H86" s="3"/>
      <c r="I86" s="3"/>
      <c r="J86" s="66"/>
      <c r="K86" s="66"/>
      <c r="L86" s="3">
        <v>40</v>
      </c>
      <c r="M86" s="36"/>
      <c r="N86" s="26" t="str">
        <f t="shared" si="48"/>
        <v/>
      </c>
      <c r="O86" s="26" t="str">
        <f t="shared" si="48"/>
        <v/>
      </c>
      <c r="P86" s="26" t="str">
        <f t="shared" si="48"/>
        <v/>
      </c>
      <c r="Q86" s="26" t="str">
        <f t="shared" si="48"/>
        <v/>
      </c>
      <c r="R86" s="26" t="str">
        <f t="shared" si="48"/>
        <v/>
      </c>
      <c r="S86" s="26">
        <f t="shared" si="48"/>
        <v>9.950248756218906E-2</v>
      </c>
      <c r="T86" s="36"/>
      <c r="U86" s="2"/>
      <c r="V86" s="2"/>
      <c r="W86" s="2"/>
      <c r="X86" s="65"/>
      <c r="Y86" s="65"/>
      <c r="Z86" s="2"/>
    </row>
    <row r="87" spans="1:27" s="55" customFormat="1" ht="14.25" customHeight="1" x14ac:dyDescent="0.2">
      <c r="A87" s="12"/>
      <c r="B87" s="75" t="s">
        <v>164</v>
      </c>
      <c r="C87" s="76"/>
      <c r="D87" s="76"/>
      <c r="E87" s="77"/>
      <c r="F87" s="34"/>
      <c r="G87" s="3"/>
      <c r="H87" s="3"/>
      <c r="I87" s="3"/>
      <c r="J87" s="66"/>
      <c r="K87" s="66"/>
      <c r="L87" s="3">
        <v>40</v>
      </c>
      <c r="M87" s="36"/>
      <c r="N87" s="26" t="str">
        <f t="shared" si="48"/>
        <v/>
      </c>
      <c r="O87" s="26" t="str">
        <f t="shared" si="48"/>
        <v/>
      </c>
      <c r="P87" s="26" t="str">
        <f t="shared" si="48"/>
        <v/>
      </c>
      <c r="Q87" s="26" t="str">
        <f t="shared" si="48"/>
        <v/>
      </c>
      <c r="R87" s="26" t="str">
        <f t="shared" si="48"/>
        <v/>
      </c>
      <c r="S87" s="26">
        <f t="shared" si="48"/>
        <v>9.950248756218906E-2</v>
      </c>
      <c r="T87" s="36"/>
      <c r="U87" s="2"/>
      <c r="V87" s="2"/>
      <c r="W87" s="2"/>
      <c r="X87" s="65"/>
      <c r="Y87" s="65"/>
      <c r="Z87" s="2"/>
    </row>
    <row r="88" spans="1:27" s="55" customFormat="1" ht="14.25" customHeight="1" x14ac:dyDescent="0.2">
      <c r="A88" s="12"/>
      <c r="B88" s="75" t="s">
        <v>186</v>
      </c>
      <c r="C88" s="76"/>
      <c r="D88" s="76"/>
      <c r="E88" s="77"/>
      <c r="F88" s="34"/>
      <c r="G88" s="3"/>
      <c r="H88" s="3"/>
      <c r="I88" s="3"/>
      <c r="J88" s="66"/>
      <c r="K88" s="66"/>
      <c r="L88" s="3">
        <v>10</v>
      </c>
      <c r="M88" s="36"/>
      <c r="N88" s="26" t="str">
        <f t="shared" si="48"/>
        <v/>
      </c>
      <c r="O88" s="26" t="str">
        <f t="shared" si="48"/>
        <v/>
      </c>
      <c r="P88" s="26" t="str">
        <f t="shared" si="48"/>
        <v/>
      </c>
      <c r="Q88" s="26" t="str">
        <f t="shared" si="48"/>
        <v/>
      </c>
      <c r="R88" s="26" t="str">
        <f t="shared" si="48"/>
        <v/>
      </c>
      <c r="S88" s="26">
        <f t="shared" si="48"/>
        <v>2.4875621890547265E-2</v>
      </c>
      <c r="T88" s="36"/>
      <c r="U88" s="2"/>
      <c r="V88" s="2"/>
      <c r="W88" s="2"/>
      <c r="X88" s="65"/>
      <c r="Y88" s="65"/>
      <c r="Z88" s="2"/>
    </row>
    <row r="89" spans="1:27" s="55" customFormat="1" ht="14.25" customHeight="1" x14ac:dyDescent="0.2">
      <c r="A89" s="12"/>
      <c r="B89" s="75" t="s">
        <v>165</v>
      </c>
      <c r="C89" s="76"/>
      <c r="D89" s="76"/>
      <c r="E89" s="77"/>
      <c r="F89" s="34"/>
      <c r="G89" s="3"/>
      <c r="H89" s="3"/>
      <c r="I89" s="3"/>
      <c r="J89" s="66"/>
      <c r="K89" s="66"/>
      <c r="L89" s="3">
        <v>10</v>
      </c>
      <c r="M89" s="36"/>
      <c r="N89" s="26" t="str">
        <f t="shared" si="48"/>
        <v/>
      </c>
      <c r="O89" s="26" t="str">
        <f t="shared" si="48"/>
        <v/>
      </c>
      <c r="P89" s="26" t="str">
        <f t="shared" si="48"/>
        <v/>
      </c>
      <c r="Q89" s="26" t="str">
        <f t="shared" si="48"/>
        <v/>
      </c>
      <c r="R89" s="26" t="str">
        <f t="shared" si="48"/>
        <v/>
      </c>
      <c r="S89" s="26">
        <f t="shared" si="48"/>
        <v>2.4875621890547265E-2</v>
      </c>
      <c r="T89" s="36"/>
      <c r="U89" s="2"/>
      <c r="V89" s="2"/>
      <c r="W89" s="2"/>
      <c r="X89" s="65"/>
      <c r="Y89" s="65"/>
      <c r="Z89" s="2"/>
    </row>
    <row r="90" spans="1:27" s="55" customFormat="1" ht="14.25" customHeight="1" x14ac:dyDescent="0.2">
      <c r="A90" s="12"/>
      <c r="B90" s="75" t="s">
        <v>164</v>
      </c>
      <c r="C90" s="76"/>
      <c r="D90" s="76"/>
      <c r="E90" s="77"/>
      <c r="F90" s="34"/>
      <c r="G90" s="3"/>
      <c r="H90" s="3"/>
      <c r="I90" s="3"/>
      <c r="J90" s="66"/>
      <c r="K90" s="66"/>
      <c r="L90" s="3">
        <v>40</v>
      </c>
      <c r="M90" s="36"/>
      <c r="N90" s="26" t="str">
        <f t="shared" si="48"/>
        <v/>
      </c>
      <c r="O90" s="26" t="str">
        <f t="shared" si="48"/>
        <v/>
      </c>
      <c r="P90" s="26" t="str">
        <f t="shared" si="48"/>
        <v/>
      </c>
      <c r="Q90" s="26" t="str">
        <f t="shared" si="48"/>
        <v/>
      </c>
      <c r="R90" s="26" t="str">
        <f t="shared" si="48"/>
        <v/>
      </c>
      <c r="S90" s="26">
        <f t="shared" si="48"/>
        <v>9.950248756218906E-2</v>
      </c>
      <c r="T90" s="36"/>
      <c r="U90" s="2"/>
      <c r="V90" s="2"/>
      <c r="W90" s="2"/>
      <c r="X90" s="65"/>
      <c r="Y90" s="65"/>
      <c r="Z90" s="2"/>
    </row>
    <row r="91" spans="1:27" s="55" customFormat="1" ht="14.25" customHeight="1" x14ac:dyDescent="0.2">
      <c r="A91" s="12"/>
      <c r="B91" s="75" t="s">
        <v>121</v>
      </c>
      <c r="C91" s="76"/>
      <c r="D91" s="76"/>
      <c r="E91" s="77"/>
      <c r="F91" s="34"/>
      <c r="G91" s="3"/>
      <c r="H91" s="3"/>
      <c r="I91" s="3"/>
      <c r="J91" s="66"/>
      <c r="K91" s="66"/>
      <c r="L91" s="3">
        <v>20</v>
      </c>
      <c r="M91" s="36"/>
      <c r="N91" s="26" t="str">
        <f t="shared" si="48"/>
        <v/>
      </c>
      <c r="O91" s="26" t="str">
        <f t="shared" si="48"/>
        <v/>
      </c>
      <c r="P91" s="26" t="str">
        <f t="shared" si="48"/>
        <v/>
      </c>
      <c r="Q91" s="26" t="str">
        <f t="shared" si="48"/>
        <v/>
      </c>
      <c r="R91" s="26" t="str">
        <f t="shared" si="48"/>
        <v/>
      </c>
      <c r="S91" s="26">
        <f t="shared" si="48"/>
        <v>4.975124378109453E-2</v>
      </c>
      <c r="T91" s="36"/>
      <c r="U91" s="2"/>
      <c r="V91" s="2"/>
      <c r="W91" s="2"/>
      <c r="X91" s="65"/>
      <c r="Y91" s="65"/>
      <c r="Z91" s="2"/>
    </row>
    <row r="92" spans="1:27" s="55" customFormat="1" ht="14.25" customHeight="1" x14ac:dyDescent="0.2">
      <c r="A92" s="12"/>
      <c r="B92" s="15" t="s">
        <v>247</v>
      </c>
      <c r="C92" s="16"/>
      <c r="D92" s="16"/>
      <c r="E92" s="17"/>
      <c r="F92" s="34"/>
      <c r="G92" s="3"/>
      <c r="H92" s="3"/>
      <c r="I92" s="3"/>
      <c r="J92" s="66"/>
      <c r="K92" s="66"/>
      <c r="L92" s="3">
        <v>130</v>
      </c>
      <c r="M92" s="36"/>
      <c r="N92" s="26" t="str">
        <f t="shared" ref="N92:S93" si="49">IFERROR(G92/G$95,"")</f>
        <v/>
      </c>
      <c r="O92" s="26" t="str">
        <f t="shared" si="49"/>
        <v/>
      </c>
      <c r="P92" s="26" t="str">
        <f t="shared" si="49"/>
        <v/>
      </c>
      <c r="Q92" s="26" t="str">
        <f t="shared" si="49"/>
        <v/>
      </c>
      <c r="R92" s="26" t="str">
        <f t="shared" si="49"/>
        <v/>
      </c>
      <c r="S92" s="26">
        <f t="shared" si="49"/>
        <v>0.32338308457711445</v>
      </c>
      <c r="T92" s="36"/>
      <c r="U92" s="2"/>
      <c r="V92" s="2"/>
      <c r="W92" s="2"/>
      <c r="X92" s="65"/>
      <c r="Y92" s="65"/>
      <c r="Z92" s="2"/>
    </row>
    <row r="93" spans="1:27" s="55" customFormat="1" ht="14.25" customHeight="1" x14ac:dyDescent="0.2">
      <c r="A93" s="12"/>
      <c r="B93" s="75" t="s">
        <v>122</v>
      </c>
      <c r="C93" s="76"/>
      <c r="D93" s="76"/>
      <c r="E93" s="77"/>
      <c r="F93" s="34"/>
      <c r="G93" s="3"/>
      <c r="H93" s="3"/>
      <c r="I93" s="3"/>
      <c r="J93" s="66"/>
      <c r="K93" s="66"/>
      <c r="L93" s="3">
        <v>56</v>
      </c>
      <c r="M93" s="36"/>
      <c r="N93" s="26" t="str">
        <f t="shared" si="49"/>
        <v/>
      </c>
      <c r="O93" s="26" t="str">
        <f t="shared" si="49"/>
        <v/>
      </c>
      <c r="P93" s="26" t="str">
        <f t="shared" si="49"/>
        <v/>
      </c>
      <c r="Q93" s="26" t="str">
        <f t="shared" si="49"/>
        <v/>
      </c>
      <c r="R93" s="26" t="str">
        <f t="shared" si="49"/>
        <v/>
      </c>
      <c r="S93" s="26">
        <f t="shared" si="49"/>
        <v>0.13930348258706468</v>
      </c>
      <c r="T93" s="36"/>
      <c r="U93" s="2"/>
      <c r="V93" s="2"/>
      <c r="W93" s="2"/>
      <c r="X93" s="65"/>
      <c r="Y93" s="65"/>
      <c r="Z93" s="2"/>
    </row>
    <row r="94" spans="1:27" s="55" customFormat="1" ht="14.25" customHeight="1" x14ac:dyDescent="0.2">
      <c r="A94" s="12"/>
      <c r="B94" s="75" t="s">
        <v>32</v>
      </c>
      <c r="C94" s="77"/>
      <c r="D94" s="83"/>
      <c r="E94" s="84"/>
      <c r="F94" s="37"/>
      <c r="G94" s="3"/>
      <c r="H94" s="3"/>
      <c r="I94" s="3"/>
      <c r="J94" s="66"/>
      <c r="K94" s="66"/>
      <c r="L94" s="3">
        <f t="shared" ref="L86:L94" si="50">SUM(H94:K94)</f>
        <v>0</v>
      </c>
      <c r="M94" s="36"/>
      <c r="N94" s="26" t="str">
        <f t="shared" ref="N94:S94" si="51">IFERROR(G94/G$95,"")</f>
        <v/>
      </c>
      <c r="O94" s="26" t="str">
        <f t="shared" si="51"/>
        <v/>
      </c>
      <c r="P94" s="26" t="str">
        <f t="shared" si="51"/>
        <v/>
      </c>
      <c r="Q94" s="26" t="str">
        <f t="shared" si="51"/>
        <v/>
      </c>
      <c r="R94" s="26" t="str">
        <f t="shared" si="51"/>
        <v/>
      </c>
      <c r="S94" s="26">
        <f t="shared" si="51"/>
        <v>0</v>
      </c>
      <c r="T94" s="36"/>
      <c r="U94" s="2"/>
      <c r="V94" s="2"/>
      <c r="W94" s="2"/>
      <c r="X94" s="65"/>
      <c r="Y94" s="65"/>
      <c r="Z94" s="2"/>
    </row>
    <row r="95" spans="1:27" s="55" customFormat="1" ht="14.25" customHeight="1" x14ac:dyDescent="0.2">
      <c r="A95" s="12"/>
      <c r="B95" s="85" t="s">
        <v>190</v>
      </c>
      <c r="C95" s="86"/>
      <c r="D95" s="86"/>
      <c r="E95" s="87"/>
      <c r="F95" s="18"/>
      <c r="G95" s="7">
        <f t="shared" ref="G95:L95" si="52">SUM(G85:G94)</f>
        <v>0</v>
      </c>
      <c r="H95" s="7">
        <f t="shared" si="52"/>
        <v>0</v>
      </c>
      <c r="I95" s="7">
        <f t="shared" si="52"/>
        <v>0</v>
      </c>
      <c r="J95" s="7">
        <f t="shared" si="52"/>
        <v>0</v>
      </c>
      <c r="K95" s="7">
        <f t="shared" si="52"/>
        <v>0</v>
      </c>
      <c r="L95" s="7">
        <f t="shared" si="52"/>
        <v>402</v>
      </c>
      <c r="M95" s="5"/>
      <c r="N95" s="57">
        <f t="shared" ref="N95:S95" si="53">SUM(N85:N94)</f>
        <v>0</v>
      </c>
      <c r="O95" s="57">
        <f t="shared" si="53"/>
        <v>0</v>
      </c>
      <c r="P95" s="57">
        <f t="shared" si="53"/>
        <v>0</v>
      </c>
      <c r="Q95" s="57">
        <f t="shared" si="53"/>
        <v>0</v>
      </c>
      <c r="R95" s="57">
        <f t="shared" si="53"/>
        <v>0</v>
      </c>
      <c r="S95" s="57">
        <f t="shared" si="53"/>
        <v>1</v>
      </c>
      <c r="T95" s="5"/>
      <c r="U95" s="32"/>
      <c r="V95" s="32"/>
      <c r="W95" s="32"/>
      <c r="X95" s="32"/>
      <c r="Y95" s="32"/>
      <c r="Z95" s="32"/>
    </row>
    <row r="96" spans="1:27" s="55" customFormat="1" ht="14.25" customHeight="1" x14ac:dyDescent="0.2">
      <c r="A96" s="12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5"/>
      <c r="T96" s="19"/>
      <c r="U96" s="19"/>
      <c r="V96" s="19"/>
      <c r="W96" s="19"/>
      <c r="X96" s="19"/>
      <c r="Y96" s="19"/>
      <c r="Z96" s="5"/>
      <c r="AA96" s="19"/>
    </row>
    <row r="97" spans="1:27" s="55" customFormat="1" ht="14.25" customHeight="1" x14ac:dyDescent="0.2">
      <c r="A97" s="12"/>
      <c r="B97" s="95" t="s">
        <v>60</v>
      </c>
      <c r="C97" s="95"/>
      <c r="D97" s="95"/>
      <c r="E97" s="95"/>
      <c r="F97" s="20"/>
      <c r="G97" s="52" t="s">
        <v>137</v>
      </c>
      <c r="H97" s="52" t="s">
        <v>137</v>
      </c>
      <c r="I97" s="52" t="s">
        <v>137</v>
      </c>
      <c r="J97" s="52" t="s">
        <v>26</v>
      </c>
      <c r="K97" s="52" t="s">
        <v>26</v>
      </c>
      <c r="L97" s="52" t="s">
        <v>26</v>
      </c>
      <c r="M97" s="6"/>
      <c r="N97" s="52" t="s">
        <v>137</v>
      </c>
      <c r="O97" s="52" t="s">
        <v>137</v>
      </c>
      <c r="P97" s="52" t="s">
        <v>137</v>
      </c>
      <c r="Q97" s="52" t="s">
        <v>26</v>
      </c>
      <c r="R97" s="52" t="s">
        <v>26</v>
      </c>
      <c r="S97" s="52" t="s">
        <v>26</v>
      </c>
      <c r="T97" s="5"/>
      <c r="U97" s="52" t="s">
        <v>137</v>
      </c>
      <c r="V97" s="52" t="s">
        <v>137</v>
      </c>
      <c r="W97" s="52" t="s">
        <v>137</v>
      </c>
      <c r="X97" s="52" t="s">
        <v>26</v>
      </c>
      <c r="Y97" s="52" t="s">
        <v>26</v>
      </c>
      <c r="Z97" s="52" t="s">
        <v>26</v>
      </c>
      <c r="AA97" s="19"/>
    </row>
    <row r="98" spans="1:27" s="55" customFormat="1" ht="14.25" customHeight="1" x14ac:dyDescent="0.2">
      <c r="A98" s="12"/>
      <c r="B98" s="78" t="s">
        <v>185</v>
      </c>
      <c r="C98" s="79"/>
      <c r="D98" s="79"/>
      <c r="E98" s="80"/>
      <c r="F98" s="21" t="s">
        <v>47</v>
      </c>
      <c r="G98" s="13">
        <v>2025</v>
      </c>
      <c r="H98" s="13" t="s">
        <v>262</v>
      </c>
      <c r="I98" s="13" t="s">
        <v>263</v>
      </c>
      <c r="J98" s="13" t="s">
        <v>264</v>
      </c>
      <c r="K98" s="13" t="s">
        <v>265</v>
      </c>
      <c r="L98" s="13">
        <v>2026</v>
      </c>
      <c r="M98" s="5"/>
      <c r="N98" s="13">
        <v>2025</v>
      </c>
      <c r="O98" s="13" t="s">
        <v>262</v>
      </c>
      <c r="P98" s="13" t="s">
        <v>263</v>
      </c>
      <c r="Q98" s="13" t="s">
        <v>264</v>
      </c>
      <c r="R98" s="13" t="s">
        <v>265</v>
      </c>
      <c r="S98" s="13">
        <v>2026</v>
      </c>
      <c r="T98" s="5"/>
      <c r="U98" s="13">
        <v>2025</v>
      </c>
      <c r="V98" s="13" t="s">
        <v>262</v>
      </c>
      <c r="W98" s="13" t="s">
        <v>263</v>
      </c>
      <c r="X98" s="13" t="s">
        <v>264</v>
      </c>
      <c r="Y98" s="13" t="s">
        <v>265</v>
      </c>
      <c r="Z98" s="13">
        <v>2026</v>
      </c>
      <c r="AA98" s="19"/>
    </row>
    <row r="99" spans="1:27" s="55" customFormat="1" ht="14.25" customHeight="1" x14ac:dyDescent="0.2">
      <c r="A99" s="12"/>
      <c r="B99" s="75" t="s">
        <v>168</v>
      </c>
      <c r="C99" s="76"/>
      <c r="D99" s="76"/>
      <c r="E99" s="77"/>
      <c r="F99" s="34"/>
      <c r="G99" s="3"/>
      <c r="H99" s="3"/>
      <c r="I99" s="3"/>
      <c r="J99" s="66"/>
      <c r="K99" s="66"/>
      <c r="L99" s="3">
        <v>20</v>
      </c>
      <c r="M99" s="36"/>
      <c r="N99" s="26" t="str">
        <f t="shared" ref="N99:S105" si="54">IFERROR(G99/G$106,"")</f>
        <v/>
      </c>
      <c r="O99" s="26" t="str">
        <f t="shared" si="54"/>
        <v/>
      </c>
      <c r="P99" s="26" t="str">
        <f t="shared" si="54"/>
        <v/>
      </c>
      <c r="Q99" s="26" t="str">
        <f t="shared" si="54"/>
        <v/>
      </c>
      <c r="R99" s="26" t="str">
        <f t="shared" si="54"/>
        <v/>
      </c>
      <c r="S99" s="26">
        <f t="shared" si="54"/>
        <v>0.125</v>
      </c>
      <c r="T99" s="36"/>
      <c r="U99" s="2"/>
      <c r="V99" s="2"/>
      <c r="W99" s="2"/>
      <c r="X99" s="65"/>
      <c r="Y99" s="65"/>
      <c r="Z99" s="2"/>
      <c r="AA99" s="19"/>
    </row>
    <row r="100" spans="1:27" s="55" customFormat="1" ht="14.25" customHeight="1" x14ac:dyDescent="0.2">
      <c r="A100" s="12"/>
      <c r="B100" s="75" t="s">
        <v>169</v>
      </c>
      <c r="C100" s="76"/>
      <c r="D100" s="76"/>
      <c r="E100" s="77"/>
      <c r="F100" s="34"/>
      <c r="G100" s="3"/>
      <c r="H100" s="3"/>
      <c r="I100" s="3"/>
      <c r="J100" s="66"/>
      <c r="K100" s="66"/>
      <c r="L100" s="3">
        <v>15</v>
      </c>
      <c r="M100" s="36"/>
      <c r="N100" s="26" t="str">
        <f t="shared" si="54"/>
        <v/>
      </c>
      <c r="O100" s="26" t="str">
        <f t="shared" si="54"/>
        <v/>
      </c>
      <c r="P100" s="26" t="str">
        <f t="shared" si="54"/>
        <v/>
      </c>
      <c r="Q100" s="26" t="str">
        <f t="shared" si="54"/>
        <v/>
      </c>
      <c r="R100" s="26" t="str">
        <f t="shared" si="54"/>
        <v/>
      </c>
      <c r="S100" s="26">
        <f t="shared" si="54"/>
        <v>9.375E-2</v>
      </c>
      <c r="T100" s="36"/>
      <c r="U100" s="2"/>
      <c r="V100" s="2"/>
      <c r="W100" s="2"/>
      <c r="X100" s="65"/>
      <c r="Y100" s="65"/>
      <c r="Z100" s="2"/>
      <c r="AA100" s="19"/>
    </row>
    <row r="101" spans="1:27" s="55" customFormat="1" ht="14.25" customHeight="1" x14ac:dyDescent="0.2">
      <c r="A101" s="12"/>
      <c r="B101" s="75" t="s">
        <v>171</v>
      </c>
      <c r="C101" s="76"/>
      <c r="D101" s="76"/>
      <c r="E101" s="77"/>
      <c r="F101" s="34"/>
      <c r="G101" s="3"/>
      <c r="H101" s="3"/>
      <c r="I101" s="3"/>
      <c r="J101" s="66"/>
      <c r="K101" s="66"/>
      <c r="L101" s="3">
        <v>30</v>
      </c>
      <c r="M101" s="36"/>
      <c r="N101" s="26" t="str">
        <f t="shared" si="54"/>
        <v/>
      </c>
      <c r="O101" s="26" t="str">
        <f t="shared" si="54"/>
        <v/>
      </c>
      <c r="P101" s="26" t="str">
        <f t="shared" si="54"/>
        <v/>
      </c>
      <c r="Q101" s="26" t="str">
        <f t="shared" si="54"/>
        <v/>
      </c>
      <c r="R101" s="26" t="str">
        <f t="shared" si="54"/>
        <v/>
      </c>
      <c r="S101" s="26">
        <f t="shared" si="54"/>
        <v>0.1875</v>
      </c>
      <c r="T101" s="36"/>
      <c r="U101" s="2"/>
      <c r="V101" s="2"/>
      <c r="W101" s="2"/>
      <c r="X101" s="65"/>
      <c r="Y101" s="65"/>
      <c r="Z101" s="2"/>
      <c r="AA101" s="19"/>
    </row>
    <row r="102" spans="1:27" s="55" customFormat="1" ht="14.25" customHeight="1" x14ac:dyDescent="0.2">
      <c r="A102" s="12"/>
      <c r="B102" s="75" t="s">
        <v>166</v>
      </c>
      <c r="C102" s="76"/>
      <c r="D102" s="76"/>
      <c r="E102" s="77"/>
      <c r="F102" s="34"/>
      <c r="G102" s="3"/>
      <c r="H102" s="3"/>
      <c r="I102" s="3"/>
      <c r="J102" s="66"/>
      <c r="K102" s="66"/>
      <c r="L102" s="3">
        <v>40</v>
      </c>
      <c r="M102" s="36"/>
      <c r="N102" s="26" t="str">
        <f t="shared" si="54"/>
        <v/>
      </c>
      <c r="O102" s="26" t="str">
        <f t="shared" si="54"/>
        <v/>
      </c>
      <c r="P102" s="26" t="str">
        <f t="shared" si="54"/>
        <v/>
      </c>
      <c r="Q102" s="26" t="str">
        <f t="shared" si="54"/>
        <v/>
      </c>
      <c r="R102" s="26" t="str">
        <f t="shared" si="54"/>
        <v/>
      </c>
      <c r="S102" s="26">
        <f t="shared" si="54"/>
        <v>0.25</v>
      </c>
      <c r="T102" s="36"/>
      <c r="U102" s="2"/>
      <c r="V102" s="2"/>
      <c r="W102" s="2"/>
      <c r="X102" s="65"/>
      <c r="Y102" s="65"/>
      <c r="Z102" s="2"/>
      <c r="AA102" s="19"/>
    </row>
    <row r="103" spans="1:27" s="55" customFormat="1" ht="14.25" customHeight="1" x14ac:dyDescent="0.2">
      <c r="A103" s="12"/>
      <c r="B103" s="75" t="s">
        <v>172</v>
      </c>
      <c r="C103" s="76"/>
      <c r="D103" s="76"/>
      <c r="E103" s="77"/>
      <c r="F103" s="34"/>
      <c r="G103" s="3"/>
      <c r="H103" s="3"/>
      <c r="I103" s="3"/>
      <c r="J103" s="66"/>
      <c r="K103" s="66"/>
      <c r="L103" s="3">
        <v>45</v>
      </c>
      <c r="M103" s="36"/>
      <c r="N103" s="26" t="str">
        <f t="shared" si="54"/>
        <v/>
      </c>
      <c r="O103" s="26" t="str">
        <f t="shared" si="54"/>
        <v/>
      </c>
      <c r="P103" s="26" t="str">
        <f t="shared" si="54"/>
        <v/>
      </c>
      <c r="Q103" s="26" t="str">
        <f t="shared" si="54"/>
        <v/>
      </c>
      <c r="R103" s="26" t="str">
        <f t="shared" si="54"/>
        <v/>
      </c>
      <c r="S103" s="26">
        <f t="shared" si="54"/>
        <v>0.28125</v>
      </c>
      <c r="T103" s="36"/>
      <c r="U103" s="2"/>
      <c r="V103" s="2"/>
      <c r="W103" s="2"/>
      <c r="X103" s="65"/>
      <c r="Y103" s="65"/>
      <c r="Z103" s="2"/>
      <c r="AA103" s="19"/>
    </row>
    <row r="104" spans="1:27" s="55" customFormat="1" ht="14.25" customHeight="1" x14ac:dyDescent="0.2">
      <c r="A104" s="12"/>
      <c r="B104" s="75" t="s">
        <v>170</v>
      </c>
      <c r="C104" s="76"/>
      <c r="D104" s="76"/>
      <c r="E104" s="77"/>
      <c r="F104" s="34"/>
      <c r="G104" s="3"/>
      <c r="H104" s="3"/>
      <c r="I104" s="3"/>
      <c r="J104" s="66"/>
      <c r="K104" s="66"/>
      <c r="L104" s="3">
        <v>10</v>
      </c>
      <c r="M104" s="36"/>
      <c r="N104" s="26" t="str">
        <f t="shared" si="54"/>
        <v/>
      </c>
      <c r="O104" s="26" t="str">
        <f t="shared" si="54"/>
        <v/>
      </c>
      <c r="P104" s="26" t="str">
        <f t="shared" si="54"/>
        <v/>
      </c>
      <c r="Q104" s="26" t="str">
        <f t="shared" si="54"/>
        <v/>
      </c>
      <c r="R104" s="26" t="str">
        <f t="shared" si="54"/>
        <v/>
      </c>
      <c r="S104" s="26">
        <f t="shared" si="54"/>
        <v>6.25E-2</v>
      </c>
      <c r="T104" s="36"/>
      <c r="U104" s="2"/>
      <c r="V104" s="2"/>
      <c r="W104" s="2"/>
      <c r="X104" s="65"/>
      <c r="Y104" s="65"/>
      <c r="Z104" s="2"/>
      <c r="AA104" s="19"/>
    </row>
    <row r="105" spans="1:27" s="55" customFormat="1" ht="14.25" customHeight="1" x14ac:dyDescent="0.2">
      <c r="A105" s="12"/>
      <c r="B105" s="75" t="s">
        <v>32</v>
      </c>
      <c r="C105" s="77"/>
      <c r="D105" s="83"/>
      <c r="E105" s="84"/>
      <c r="F105" s="37"/>
      <c r="G105" s="3"/>
      <c r="H105" s="3"/>
      <c r="I105" s="3"/>
      <c r="J105" s="66"/>
      <c r="K105" s="66"/>
      <c r="L105" s="3">
        <f t="shared" ref="L100:L105" si="55">SUM(H105:K105)</f>
        <v>0</v>
      </c>
      <c r="M105" s="36"/>
      <c r="N105" s="26" t="str">
        <f t="shared" si="54"/>
        <v/>
      </c>
      <c r="O105" s="26" t="str">
        <f t="shared" si="54"/>
        <v/>
      </c>
      <c r="P105" s="26" t="str">
        <f t="shared" si="54"/>
        <v/>
      </c>
      <c r="Q105" s="26" t="str">
        <f t="shared" si="54"/>
        <v/>
      </c>
      <c r="R105" s="26" t="str">
        <f t="shared" si="54"/>
        <v/>
      </c>
      <c r="S105" s="26">
        <f t="shared" si="54"/>
        <v>0</v>
      </c>
      <c r="T105" s="36"/>
      <c r="U105" s="2"/>
      <c r="V105" s="2"/>
      <c r="W105" s="2"/>
      <c r="X105" s="65"/>
      <c r="Y105" s="65"/>
      <c r="Z105" s="2"/>
      <c r="AA105" s="19"/>
    </row>
    <row r="106" spans="1:27" s="55" customFormat="1" ht="14.25" customHeight="1" x14ac:dyDescent="0.2">
      <c r="A106" s="12"/>
      <c r="B106" s="85" t="s">
        <v>189</v>
      </c>
      <c r="C106" s="86"/>
      <c r="D106" s="86"/>
      <c r="E106" s="87"/>
      <c r="F106" s="18"/>
      <c r="G106" s="7">
        <f t="shared" ref="G106:L106" si="56">SUM(G99:G105)</f>
        <v>0</v>
      </c>
      <c r="H106" s="7">
        <f t="shared" si="56"/>
        <v>0</v>
      </c>
      <c r="I106" s="7">
        <f t="shared" si="56"/>
        <v>0</v>
      </c>
      <c r="J106" s="7">
        <f t="shared" si="56"/>
        <v>0</v>
      </c>
      <c r="K106" s="7">
        <f t="shared" si="56"/>
        <v>0</v>
      </c>
      <c r="L106" s="7">
        <f t="shared" si="56"/>
        <v>160</v>
      </c>
      <c r="M106" s="5"/>
      <c r="N106" s="57">
        <f t="shared" ref="N106:S106" si="57">SUM(N99:N105)</f>
        <v>0</v>
      </c>
      <c r="O106" s="57">
        <f t="shared" si="57"/>
        <v>0</v>
      </c>
      <c r="P106" s="57">
        <f t="shared" si="57"/>
        <v>0</v>
      </c>
      <c r="Q106" s="57">
        <f t="shared" si="57"/>
        <v>0</v>
      </c>
      <c r="R106" s="57">
        <f t="shared" si="57"/>
        <v>0</v>
      </c>
      <c r="S106" s="57">
        <f t="shared" si="57"/>
        <v>1</v>
      </c>
      <c r="T106" s="5"/>
      <c r="U106" s="32"/>
      <c r="V106" s="32"/>
      <c r="W106" s="32"/>
      <c r="X106" s="32"/>
      <c r="Y106" s="32"/>
      <c r="Z106" s="32"/>
      <c r="AA106" s="19"/>
    </row>
    <row r="107" spans="1:27" s="55" customFormat="1" ht="14.25" customHeight="1" x14ac:dyDescent="0.2">
      <c r="A107" s="12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5"/>
      <c r="T107" s="19"/>
      <c r="U107" s="19"/>
      <c r="V107" s="19"/>
      <c r="W107" s="19"/>
      <c r="X107" s="19"/>
      <c r="Y107" s="19"/>
      <c r="Z107" s="5"/>
      <c r="AA107" s="19"/>
    </row>
    <row r="108" spans="1:27" s="55" customFormat="1" ht="14.25" customHeight="1" x14ac:dyDescent="0.2">
      <c r="A108" s="12"/>
      <c r="B108" s="95" t="s">
        <v>61</v>
      </c>
      <c r="C108" s="95"/>
      <c r="D108" s="95"/>
      <c r="E108" s="95"/>
      <c r="F108" s="20"/>
      <c r="G108" s="52" t="s">
        <v>137</v>
      </c>
      <c r="H108" s="52" t="s">
        <v>137</v>
      </c>
      <c r="I108" s="52" t="s">
        <v>137</v>
      </c>
      <c r="J108" s="52" t="s">
        <v>26</v>
      </c>
      <c r="K108" s="52" t="s">
        <v>26</v>
      </c>
      <c r="L108" s="52" t="s">
        <v>26</v>
      </c>
      <c r="M108" s="6"/>
      <c r="N108" s="52" t="s">
        <v>137</v>
      </c>
      <c r="O108" s="52" t="s">
        <v>137</v>
      </c>
      <c r="P108" s="52" t="s">
        <v>137</v>
      </c>
      <c r="Q108" s="52" t="s">
        <v>26</v>
      </c>
      <c r="R108" s="52" t="s">
        <v>26</v>
      </c>
      <c r="S108" s="52" t="s">
        <v>26</v>
      </c>
      <c r="T108" s="5"/>
      <c r="U108" s="52" t="s">
        <v>137</v>
      </c>
      <c r="V108" s="52" t="s">
        <v>137</v>
      </c>
      <c r="W108" s="52" t="s">
        <v>137</v>
      </c>
      <c r="X108" s="52" t="s">
        <v>26</v>
      </c>
      <c r="Y108" s="52" t="s">
        <v>26</v>
      </c>
      <c r="Z108" s="52" t="s">
        <v>26</v>
      </c>
    </row>
    <row r="109" spans="1:27" s="55" customFormat="1" ht="14.25" customHeight="1" x14ac:dyDescent="0.2">
      <c r="A109" s="12"/>
      <c r="B109" s="78" t="s">
        <v>54</v>
      </c>
      <c r="C109" s="79"/>
      <c r="D109" s="79"/>
      <c r="E109" s="80"/>
      <c r="F109" s="21" t="s">
        <v>47</v>
      </c>
      <c r="G109" s="13">
        <v>2025</v>
      </c>
      <c r="H109" s="13" t="s">
        <v>262</v>
      </c>
      <c r="I109" s="13" t="s">
        <v>263</v>
      </c>
      <c r="J109" s="13" t="s">
        <v>264</v>
      </c>
      <c r="K109" s="13" t="s">
        <v>265</v>
      </c>
      <c r="L109" s="13">
        <v>2026</v>
      </c>
      <c r="M109" s="5"/>
      <c r="N109" s="13">
        <v>2025</v>
      </c>
      <c r="O109" s="13" t="s">
        <v>262</v>
      </c>
      <c r="P109" s="13" t="s">
        <v>263</v>
      </c>
      <c r="Q109" s="13" t="s">
        <v>264</v>
      </c>
      <c r="R109" s="13" t="s">
        <v>265</v>
      </c>
      <c r="S109" s="13">
        <v>2026</v>
      </c>
      <c r="T109" s="5"/>
      <c r="U109" s="13">
        <v>2025</v>
      </c>
      <c r="V109" s="13" t="s">
        <v>262</v>
      </c>
      <c r="W109" s="13" t="s">
        <v>263</v>
      </c>
      <c r="X109" s="13" t="s">
        <v>264</v>
      </c>
      <c r="Y109" s="13" t="s">
        <v>265</v>
      </c>
      <c r="Z109" s="13">
        <v>2026</v>
      </c>
    </row>
    <row r="110" spans="1:27" s="55" customFormat="1" ht="14.25" customHeight="1" x14ac:dyDescent="0.2">
      <c r="A110" s="12"/>
      <c r="B110" s="75" t="s">
        <v>123</v>
      </c>
      <c r="C110" s="76"/>
      <c r="D110" s="76"/>
      <c r="E110" s="77"/>
      <c r="F110" s="34"/>
      <c r="G110" s="3"/>
      <c r="H110" s="3"/>
      <c r="I110" s="3"/>
      <c r="J110" s="66"/>
      <c r="K110" s="66"/>
      <c r="L110" s="3">
        <v>30</v>
      </c>
      <c r="M110" s="36"/>
      <c r="N110" s="26" t="str">
        <f t="shared" ref="N110:S113" si="58">IFERROR(G110/G$118,"")</f>
        <v/>
      </c>
      <c r="O110" s="26" t="str">
        <f t="shared" si="58"/>
        <v/>
      </c>
      <c r="P110" s="26" t="str">
        <f t="shared" si="58"/>
        <v/>
      </c>
      <c r="Q110" s="26" t="str">
        <f t="shared" si="58"/>
        <v/>
      </c>
      <c r="R110" s="26" t="str">
        <f t="shared" si="58"/>
        <v/>
      </c>
      <c r="S110" s="26">
        <f t="shared" si="58"/>
        <v>0.10714285714285714</v>
      </c>
      <c r="T110" s="36"/>
      <c r="U110" s="2"/>
      <c r="V110" s="2"/>
      <c r="W110" s="2"/>
      <c r="X110" s="65"/>
      <c r="Y110" s="65"/>
      <c r="Z110" s="2"/>
    </row>
    <row r="111" spans="1:27" s="55" customFormat="1" ht="14.25" customHeight="1" x14ac:dyDescent="0.2">
      <c r="A111" s="12"/>
      <c r="B111" s="75" t="s">
        <v>10</v>
      </c>
      <c r="C111" s="76"/>
      <c r="D111" s="76"/>
      <c r="E111" s="77"/>
      <c r="F111" s="34"/>
      <c r="G111" s="3"/>
      <c r="H111" s="3"/>
      <c r="I111" s="3"/>
      <c r="J111" s="66"/>
      <c r="K111" s="66"/>
      <c r="L111" s="3">
        <v>20</v>
      </c>
      <c r="M111" s="36"/>
      <c r="N111" s="26" t="str">
        <f t="shared" si="58"/>
        <v/>
      </c>
      <c r="O111" s="26" t="str">
        <f t="shared" si="58"/>
        <v/>
      </c>
      <c r="P111" s="26" t="str">
        <f t="shared" si="58"/>
        <v/>
      </c>
      <c r="Q111" s="26" t="str">
        <f t="shared" si="58"/>
        <v/>
      </c>
      <c r="R111" s="26" t="str">
        <f t="shared" si="58"/>
        <v/>
      </c>
      <c r="S111" s="26">
        <f t="shared" si="58"/>
        <v>7.1428571428571425E-2</v>
      </c>
      <c r="T111" s="36"/>
      <c r="U111" s="2"/>
      <c r="V111" s="2"/>
      <c r="W111" s="2"/>
      <c r="X111" s="65"/>
      <c r="Y111" s="65"/>
      <c r="Z111" s="2"/>
    </row>
    <row r="112" spans="1:27" s="55" customFormat="1" ht="14.25" customHeight="1" x14ac:dyDescent="0.2">
      <c r="A112" s="12"/>
      <c r="B112" s="75" t="s">
        <v>27</v>
      </c>
      <c r="C112" s="76"/>
      <c r="D112" s="76"/>
      <c r="E112" s="77"/>
      <c r="F112" s="34"/>
      <c r="G112" s="3"/>
      <c r="H112" s="3"/>
      <c r="I112" s="3"/>
      <c r="J112" s="66"/>
      <c r="K112" s="66"/>
      <c r="L112" s="3">
        <v>80</v>
      </c>
      <c r="M112" s="36"/>
      <c r="N112" s="26" t="str">
        <f t="shared" si="58"/>
        <v/>
      </c>
      <c r="O112" s="26" t="str">
        <f t="shared" si="58"/>
        <v/>
      </c>
      <c r="P112" s="26" t="str">
        <f t="shared" si="58"/>
        <v/>
      </c>
      <c r="Q112" s="26" t="str">
        <f t="shared" si="58"/>
        <v/>
      </c>
      <c r="R112" s="26" t="str">
        <f t="shared" si="58"/>
        <v/>
      </c>
      <c r="S112" s="26">
        <f t="shared" si="58"/>
        <v>0.2857142857142857</v>
      </c>
      <c r="T112" s="36"/>
      <c r="U112" s="2"/>
      <c r="V112" s="2"/>
      <c r="W112" s="2"/>
      <c r="X112" s="65"/>
      <c r="Y112" s="65"/>
      <c r="Z112" s="2"/>
    </row>
    <row r="113" spans="1:27" s="55" customFormat="1" ht="14.25" customHeight="1" x14ac:dyDescent="0.2">
      <c r="A113" s="12"/>
      <c r="B113" s="75" t="s">
        <v>28</v>
      </c>
      <c r="C113" s="76"/>
      <c r="D113" s="76"/>
      <c r="E113" s="77"/>
      <c r="F113" s="34"/>
      <c r="G113" s="3"/>
      <c r="H113" s="3"/>
      <c r="I113" s="3"/>
      <c r="J113" s="66"/>
      <c r="K113" s="66"/>
      <c r="L113" s="3">
        <v>10</v>
      </c>
      <c r="M113" s="36"/>
      <c r="N113" s="26" t="str">
        <f t="shared" si="58"/>
        <v/>
      </c>
      <c r="O113" s="26" t="str">
        <f t="shared" si="58"/>
        <v/>
      </c>
      <c r="P113" s="26" t="str">
        <f t="shared" si="58"/>
        <v/>
      </c>
      <c r="Q113" s="26" t="str">
        <f t="shared" si="58"/>
        <v/>
      </c>
      <c r="R113" s="26" t="str">
        <f t="shared" si="58"/>
        <v/>
      </c>
      <c r="S113" s="26">
        <f t="shared" si="58"/>
        <v>3.5714285714285712E-2</v>
      </c>
      <c r="T113" s="36"/>
      <c r="U113" s="2"/>
      <c r="V113" s="2"/>
      <c r="W113" s="2"/>
      <c r="X113" s="65"/>
      <c r="Y113" s="65"/>
      <c r="Z113" s="2"/>
    </row>
    <row r="114" spans="1:27" s="55" customFormat="1" ht="14.25" customHeight="1" x14ac:dyDescent="0.2">
      <c r="A114" s="12"/>
      <c r="B114" s="75" t="s">
        <v>270</v>
      </c>
      <c r="C114" s="76"/>
      <c r="D114" s="76"/>
      <c r="E114" s="77"/>
      <c r="F114" s="34"/>
      <c r="G114" s="3"/>
      <c r="H114" s="3"/>
      <c r="I114" s="3"/>
      <c r="J114" s="66"/>
      <c r="K114" s="66"/>
      <c r="L114" s="3">
        <v>10</v>
      </c>
      <c r="M114" s="36"/>
      <c r="N114" s="26" t="str">
        <f t="shared" ref="N114:N115" si="59">IFERROR(G114/G$118,"")</f>
        <v/>
      </c>
      <c r="O114" s="26" t="str">
        <f t="shared" ref="O114:O115" si="60">IFERROR(H114/H$118,"")</f>
        <v/>
      </c>
      <c r="P114" s="26" t="str">
        <f t="shared" ref="P114:P115" si="61">IFERROR(I114/I$118,"")</f>
        <v/>
      </c>
      <c r="Q114" s="26" t="str">
        <f t="shared" ref="Q114:Q115" si="62">IFERROR(J114/J$118,"")</f>
        <v/>
      </c>
      <c r="R114" s="26" t="str">
        <f t="shared" ref="R114:R115" si="63">IFERROR(K114/K$118,"")</f>
        <v/>
      </c>
      <c r="S114" s="26">
        <f t="shared" ref="S114:S115" si="64">IFERROR(L114/L$118,"")</f>
        <v>3.5714285714285712E-2</v>
      </c>
      <c r="T114" s="36"/>
      <c r="U114" s="2"/>
      <c r="V114" s="2"/>
      <c r="W114" s="2"/>
      <c r="X114" s="65"/>
      <c r="Y114" s="65"/>
      <c r="Z114" s="2"/>
    </row>
    <row r="115" spans="1:27" s="55" customFormat="1" ht="14.25" customHeight="1" x14ac:dyDescent="0.2">
      <c r="A115" s="12"/>
      <c r="B115" s="75" t="s">
        <v>34</v>
      </c>
      <c r="C115" s="76"/>
      <c r="D115" s="76"/>
      <c r="E115" s="77"/>
      <c r="F115" s="34"/>
      <c r="G115" s="3"/>
      <c r="H115" s="3"/>
      <c r="I115" s="3"/>
      <c r="J115" s="66"/>
      <c r="K115" s="66"/>
      <c r="L115" s="3">
        <v>10</v>
      </c>
      <c r="M115" s="36"/>
      <c r="N115" s="26" t="str">
        <f t="shared" si="59"/>
        <v/>
      </c>
      <c r="O115" s="26" t="str">
        <f t="shared" si="60"/>
        <v/>
      </c>
      <c r="P115" s="26" t="str">
        <f t="shared" si="61"/>
        <v/>
      </c>
      <c r="Q115" s="26" t="str">
        <f t="shared" si="62"/>
        <v/>
      </c>
      <c r="R115" s="26" t="str">
        <f t="shared" si="63"/>
        <v/>
      </c>
      <c r="S115" s="26">
        <f t="shared" si="64"/>
        <v>3.5714285714285712E-2</v>
      </c>
      <c r="T115" s="36"/>
      <c r="U115" s="2"/>
      <c r="V115" s="2"/>
      <c r="W115" s="2"/>
      <c r="X115" s="65"/>
      <c r="Y115" s="65"/>
      <c r="Z115" s="2"/>
    </row>
    <row r="116" spans="1:27" s="55" customFormat="1" ht="14.25" customHeight="1" x14ac:dyDescent="0.2">
      <c r="A116" s="12"/>
      <c r="B116" s="75" t="s">
        <v>132</v>
      </c>
      <c r="C116" s="76"/>
      <c r="D116" s="76"/>
      <c r="E116" s="77"/>
      <c r="F116" s="34"/>
      <c r="G116" s="3"/>
      <c r="H116" s="3"/>
      <c r="I116" s="3"/>
      <c r="J116" s="66"/>
      <c r="K116" s="66"/>
      <c r="L116" s="3">
        <v>120</v>
      </c>
      <c r="M116" s="36"/>
      <c r="N116" s="26" t="str">
        <f t="shared" ref="N116:S117" si="65">IFERROR(G116/G$118,"")</f>
        <v/>
      </c>
      <c r="O116" s="26" t="str">
        <f t="shared" si="65"/>
        <v/>
      </c>
      <c r="P116" s="26" t="str">
        <f t="shared" si="65"/>
        <v/>
      </c>
      <c r="Q116" s="26" t="str">
        <f t="shared" si="65"/>
        <v/>
      </c>
      <c r="R116" s="26" t="str">
        <f t="shared" si="65"/>
        <v/>
      </c>
      <c r="S116" s="26">
        <f t="shared" si="65"/>
        <v>0.42857142857142855</v>
      </c>
      <c r="T116" s="36"/>
      <c r="U116" s="2"/>
      <c r="V116" s="2"/>
      <c r="W116" s="2"/>
      <c r="X116" s="65"/>
      <c r="Y116" s="65"/>
      <c r="Z116" s="2"/>
    </row>
    <row r="117" spans="1:27" s="55" customFormat="1" ht="14.25" customHeight="1" x14ac:dyDescent="0.2">
      <c r="A117" s="12"/>
      <c r="B117" s="75" t="s">
        <v>32</v>
      </c>
      <c r="C117" s="77"/>
      <c r="D117" s="83"/>
      <c r="E117" s="84"/>
      <c r="F117" s="37"/>
      <c r="G117" s="3"/>
      <c r="H117" s="3"/>
      <c r="I117" s="3"/>
      <c r="J117" s="66"/>
      <c r="K117" s="66"/>
      <c r="L117" s="3">
        <f t="shared" ref="L111:L117" si="66">SUM(H117:K117)</f>
        <v>0</v>
      </c>
      <c r="M117" s="36"/>
      <c r="N117" s="26" t="str">
        <f t="shared" si="65"/>
        <v/>
      </c>
      <c r="O117" s="26" t="str">
        <f t="shared" si="65"/>
        <v/>
      </c>
      <c r="P117" s="26" t="str">
        <f t="shared" si="65"/>
        <v/>
      </c>
      <c r="Q117" s="26" t="str">
        <f t="shared" si="65"/>
        <v/>
      </c>
      <c r="R117" s="26" t="str">
        <f t="shared" si="65"/>
        <v/>
      </c>
      <c r="S117" s="26">
        <f t="shared" si="65"/>
        <v>0</v>
      </c>
      <c r="T117" s="36"/>
      <c r="U117" s="2"/>
      <c r="V117" s="2"/>
      <c r="W117" s="2"/>
      <c r="X117" s="65"/>
      <c r="Y117" s="65"/>
      <c r="Z117" s="2"/>
    </row>
    <row r="118" spans="1:27" s="55" customFormat="1" ht="14.25" customHeight="1" x14ac:dyDescent="0.2">
      <c r="A118" s="12"/>
      <c r="B118" s="85" t="s">
        <v>133</v>
      </c>
      <c r="C118" s="86"/>
      <c r="D118" s="86"/>
      <c r="E118" s="87"/>
      <c r="F118" s="18"/>
      <c r="G118" s="7">
        <f t="shared" ref="G118:L118" si="67">SUM(G110:G117)</f>
        <v>0</v>
      </c>
      <c r="H118" s="7">
        <f t="shared" si="67"/>
        <v>0</v>
      </c>
      <c r="I118" s="7">
        <f t="shared" si="67"/>
        <v>0</v>
      </c>
      <c r="J118" s="7">
        <f t="shared" si="67"/>
        <v>0</v>
      </c>
      <c r="K118" s="7">
        <f t="shared" si="67"/>
        <v>0</v>
      </c>
      <c r="L118" s="7">
        <f t="shared" si="67"/>
        <v>280</v>
      </c>
      <c r="M118" s="5"/>
      <c r="N118" s="57">
        <f t="shared" ref="N118:S118" si="68">SUM(N110:N117)</f>
        <v>0</v>
      </c>
      <c r="O118" s="57">
        <f t="shared" si="68"/>
        <v>0</v>
      </c>
      <c r="P118" s="57">
        <f t="shared" si="68"/>
        <v>0</v>
      </c>
      <c r="Q118" s="57">
        <f t="shared" si="68"/>
        <v>0</v>
      </c>
      <c r="R118" s="57">
        <f t="shared" si="68"/>
        <v>0</v>
      </c>
      <c r="S118" s="57">
        <f t="shared" si="68"/>
        <v>1</v>
      </c>
      <c r="T118" s="5"/>
      <c r="U118" s="32"/>
      <c r="V118" s="32"/>
      <c r="W118" s="32"/>
      <c r="X118" s="32"/>
      <c r="Y118" s="32"/>
      <c r="Z118" s="32"/>
    </row>
    <row r="119" spans="1:27" s="55" customFormat="1" ht="14.25" customHeight="1" x14ac:dyDescent="0.2">
      <c r="A119" s="12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7" s="55" customFormat="1" ht="14.25" customHeight="1" thickBot="1" x14ac:dyDescent="0.25">
      <c r="A120" s="12"/>
      <c r="B120" s="96" t="s">
        <v>24</v>
      </c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5"/>
      <c r="N120" s="5"/>
      <c r="O120" s="5"/>
      <c r="P120" s="19"/>
      <c r="Q120" s="19"/>
      <c r="R120" s="19"/>
      <c r="S120" s="5"/>
      <c r="T120" s="19"/>
      <c r="U120" s="19"/>
      <c r="V120" s="19"/>
      <c r="W120" s="19"/>
      <c r="X120" s="19"/>
      <c r="Y120" s="19"/>
      <c r="Z120" s="5"/>
      <c r="AA120" s="19"/>
    </row>
    <row r="121" spans="1:27" s="55" customFormat="1" ht="14.25" customHeight="1" thickTop="1" x14ac:dyDescent="0.2">
      <c r="A121" s="12"/>
      <c r="B121" s="10" t="s">
        <v>70</v>
      </c>
      <c r="C121" s="5"/>
      <c r="D121" s="5"/>
      <c r="E121" s="5"/>
      <c r="F121" s="5"/>
      <c r="G121" s="52" t="s">
        <v>137</v>
      </c>
      <c r="H121" s="52" t="s">
        <v>137</v>
      </c>
      <c r="I121" s="5"/>
      <c r="J121" s="5"/>
      <c r="K121" s="5"/>
      <c r="L121" s="5"/>
      <c r="M121" s="5"/>
      <c r="N121" s="5"/>
      <c r="O121" s="5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 spans="1:27" s="55" customFormat="1" ht="28.5" customHeight="1" x14ac:dyDescent="0.2">
      <c r="A122" s="12"/>
      <c r="B122" s="89" t="s">
        <v>134</v>
      </c>
      <c r="C122" s="90"/>
      <c r="D122" s="90"/>
      <c r="E122" s="90"/>
      <c r="F122" s="91"/>
      <c r="G122" s="13">
        <v>2025</v>
      </c>
      <c r="H122" s="13" t="s">
        <v>263</v>
      </c>
      <c r="I122" s="5"/>
      <c r="J122" s="5"/>
      <c r="K122" s="5"/>
      <c r="L122" s="5"/>
      <c r="M122" s="5"/>
      <c r="N122" s="5"/>
      <c r="O122" s="5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</row>
    <row r="123" spans="1:27" s="55" customFormat="1" ht="14.25" customHeight="1" x14ac:dyDescent="0.2">
      <c r="A123" s="12"/>
      <c r="B123" s="117" t="s">
        <v>42</v>
      </c>
      <c r="C123" s="131"/>
      <c r="D123" s="131"/>
      <c r="E123" s="131"/>
      <c r="F123" s="118"/>
      <c r="G123" s="8">
        <v>0.05</v>
      </c>
      <c r="H123" s="8">
        <v>0.1</v>
      </c>
      <c r="I123" s="5"/>
      <c r="J123" s="5"/>
      <c r="K123" s="5"/>
      <c r="L123" s="5"/>
      <c r="M123" s="5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 spans="1:27" s="55" customFormat="1" ht="14.25" customHeight="1" x14ac:dyDescent="0.2">
      <c r="A124" s="12"/>
      <c r="B124" s="117" t="s">
        <v>43</v>
      </c>
      <c r="C124" s="131"/>
      <c r="D124" s="131"/>
      <c r="E124" s="131"/>
      <c r="F124" s="118"/>
      <c r="G124" s="8">
        <v>0.05</v>
      </c>
      <c r="H124" s="8">
        <v>0.05</v>
      </c>
      <c r="I124" s="5"/>
      <c r="J124" s="5"/>
      <c r="K124" s="5"/>
      <c r="L124" s="5"/>
      <c r="M124" s="5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 spans="1:27" s="55" customFormat="1" ht="14.25" customHeight="1" x14ac:dyDescent="0.2">
      <c r="A125" s="12"/>
      <c r="B125" s="117" t="s">
        <v>44</v>
      </c>
      <c r="C125" s="131"/>
      <c r="D125" s="131"/>
      <c r="E125" s="131"/>
      <c r="F125" s="118"/>
      <c r="G125" s="8">
        <v>0.9</v>
      </c>
      <c r="H125" s="8">
        <v>0.8</v>
      </c>
      <c r="I125" s="5"/>
      <c r="J125" s="5"/>
      <c r="K125" s="5"/>
      <c r="L125" s="5"/>
      <c r="M125" s="5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 spans="1:27" s="55" customFormat="1" ht="14.25" customHeight="1" x14ac:dyDescent="0.2">
      <c r="A126" s="12"/>
      <c r="B126" s="117" t="s">
        <v>239</v>
      </c>
      <c r="C126" s="118"/>
      <c r="D126" s="92"/>
      <c r="E126" s="93"/>
      <c r="F126" s="94"/>
      <c r="G126" s="8"/>
      <c r="H126" s="8"/>
      <c r="I126" s="5"/>
      <c r="J126" s="5"/>
      <c r="K126" s="5"/>
      <c r="L126" s="5"/>
      <c r="M126" s="5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 spans="1:27" s="55" customFormat="1" ht="14.25" customHeight="1" x14ac:dyDescent="0.2">
      <c r="A127" s="12"/>
      <c r="B127" s="117" t="s">
        <v>30</v>
      </c>
      <c r="C127" s="118"/>
      <c r="D127" s="92"/>
      <c r="E127" s="93"/>
      <c r="F127" s="94"/>
      <c r="G127" s="8"/>
      <c r="H127" s="8"/>
      <c r="I127" s="5"/>
      <c r="J127" s="5"/>
      <c r="K127" s="5"/>
      <c r="L127" s="5"/>
      <c r="M127" s="5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 spans="1:27" s="55" customFormat="1" ht="14.25" customHeight="1" x14ac:dyDescent="0.2">
      <c r="A128" s="12"/>
      <c r="B128" s="85" t="s">
        <v>13</v>
      </c>
      <c r="C128" s="86"/>
      <c r="D128" s="86"/>
      <c r="E128" s="86"/>
      <c r="F128" s="87"/>
      <c r="G128" s="11">
        <f t="shared" ref="G128:H128" si="69">SUM(G123:G127)</f>
        <v>1</v>
      </c>
      <c r="H128" s="11">
        <f t="shared" si="69"/>
        <v>0.95000000000000007</v>
      </c>
      <c r="I128" s="5"/>
      <c r="J128" s="5"/>
      <c r="K128" s="5"/>
      <c r="L128" s="5"/>
      <c r="M128" s="5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 spans="1:27" s="55" customFormat="1" ht="14.25" customHeight="1" x14ac:dyDescent="0.2">
      <c r="A129" s="12"/>
      <c r="B129" s="10" t="s">
        <v>71</v>
      </c>
      <c r="C129" s="5"/>
      <c r="D129" s="5"/>
      <c r="E129" s="5"/>
      <c r="F129" s="5"/>
      <c r="G129" s="52" t="s">
        <v>137</v>
      </c>
      <c r="H129" s="52" t="s">
        <v>137</v>
      </c>
      <c r="I129" s="5"/>
      <c r="J129" s="5"/>
      <c r="K129" s="5"/>
      <c r="L129" s="5"/>
      <c r="M129" s="5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 spans="1:27" s="55" customFormat="1" ht="29.25" customHeight="1" x14ac:dyDescent="0.2">
      <c r="A130" s="12"/>
      <c r="B130" s="89" t="s">
        <v>57</v>
      </c>
      <c r="C130" s="90"/>
      <c r="D130" s="90"/>
      <c r="E130" s="90"/>
      <c r="F130" s="91"/>
      <c r="G130" s="13">
        <v>2025</v>
      </c>
      <c r="H130" s="13" t="s">
        <v>263</v>
      </c>
      <c r="I130" s="5"/>
      <c r="J130" s="5"/>
      <c r="K130" s="5"/>
      <c r="L130" s="5"/>
      <c r="M130" s="5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 spans="1:27" s="55" customFormat="1" ht="14.5" customHeight="1" x14ac:dyDescent="0.2">
      <c r="A131" s="12"/>
      <c r="B131" s="75" t="s">
        <v>113</v>
      </c>
      <c r="C131" s="76"/>
      <c r="D131" s="76"/>
      <c r="E131" s="76"/>
      <c r="F131" s="77"/>
      <c r="G131" s="2"/>
      <c r="H131" s="2"/>
      <c r="I131" s="5"/>
      <c r="J131" s="5"/>
      <c r="K131" s="5"/>
      <c r="L131" s="5"/>
      <c r="M131" s="5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</row>
    <row r="132" spans="1:27" s="55" customFormat="1" ht="14.25" customHeight="1" x14ac:dyDescent="0.2">
      <c r="A132" s="12"/>
      <c r="B132" s="75" t="s">
        <v>46</v>
      </c>
      <c r="C132" s="76"/>
      <c r="D132" s="76"/>
      <c r="E132" s="76"/>
      <c r="F132" s="77"/>
      <c r="G132" s="2"/>
      <c r="H132" s="2"/>
      <c r="I132" s="5"/>
      <c r="J132" s="5"/>
      <c r="K132" s="5"/>
      <c r="L132" s="5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</row>
    <row r="133" spans="1:27" s="55" customFormat="1" ht="14.25" customHeight="1" x14ac:dyDescent="0.2">
      <c r="A133" s="12"/>
      <c r="B133" s="75" t="s">
        <v>45</v>
      </c>
      <c r="C133" s="76"/>
      <c r="D133" s="76"/>
      <c r="E133" s="76"/>
      <c r="F133" s="77"/>
      <c r="G133" s="2"/>
      <c r="H133" s="2"/>
      <c r="I133" s="5"/>
      <c r="J133" s="5"/>
      <c r="K133" s="5"/>
      <c r="L133" s="5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</row>
    <row r="134" spans="1:27" s="19" customFormat="1" ht="14.25" customHeight="1" x14ac:dyDescent="0.2">
      <c r="A134" s="12"/>
      <c r="B134" s="85" t="s">
        <v>267</v>
      </c>
      <c r="C134" s="86"/>
      <c r="D134" s="86"/>
      <c r="E134" s="86"/>
      <c r="F134" s="87"/>
      <c r="G134" s="14">
        <f t="shared" ref="G134:H134" si="70">SUM(G132:G133)</f>
        <v>0</v>
      </c>
      <c r="H134" s="14">
        <f t="shared" si="70"/>
        <v>0</v>
      </c>
      <c r="I134" s="5"/>
      <c r="J134" s="5"/>
      <c r="K134" s="5"/>
      <c r="L134" s="5"/>
    </row>
    <row r="135" spans="1:27" s="19" customFormat="1" ht="12" x14ac:dyDescent="0.2">
      <c r="B135" s="10" t="s">
        <v>80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27" s="19" customFormat="1" ht="21" customHeight="1" x14ac:dyDescent="0.2">
      <c r="B136" s="122" t="s">
        <v>112</v>
      </c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</row>
    <row r="137" spans="1:27" s="19" customFormat="1" ht="42" customHeight="1" x14ac:dyDescent="0.2"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</row>
    <row r="138" spans="1:27" s="19" customFormat="1" ht="12" x14ac:dyDescent="0.15">
      <c r="B138" s="50" t="s">
        <v>88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spans="1:27" s="19" customFormat="1" ht="18" customHeight="1" x14ac:dyDescent="0.2">
      <c r="B139" s="78" t="s">
        <v>266</v>
      </c>
      <c r="C139" s="79"/>
      <c r="D139" s="79"/>
      <c r="E139" s="79"/>
      <c r="F139" s="79"/>
      <c r="G139" s="79"/>
      <c r="H139" s="79"/>
      <c r="I139" s="79"/>
      <c r="J139" s="80"/>
      <c r="K139" s="126" t="s">
        <v>118</v>
      </c>
      <c r="L139" s="127"/>
    </row>
    <row r="140" spans="1:27" s="19" customFormat="1" x14ac:dyDescent="0.2">
      <c r="B140" s="75" t="s">
        <v>115</v>
      </c>
      <c r="C140" s="76"/>
      <c r="D140" s="76"/>
      <c r="E140" s="76"/>
      <c r="F140" s="76"/>
      <c r="G140" s="76"/>
      <c r="H140" s="76"/>
      <c r="I140" s="76"/>
      <c r="J140" s="77"/>
      <c r="K140" s="81"/>
      <c r="L140" s="82"/>
    </row>
    <row r="141" spans="1:27" s="19" customFormat="1" x14ac:dyDescent="0.2">
      <c r="B141" s="75" t="s">
        <v>116</v>
      </c>
      <c r="C141" s="76"/>
      <c r="D141" s="76"/>
      <c r="E141" s="76"/>
      <c r="F141" s="76"/>
      <c r="G141" s="76"/>
      <c r="H141" s="76"/>
      <c r="I141" s="76"/>
      <c r="J141" s="77"/>
      <c r="K141" s="81"/>
      <c r="L141" s="82"/>
    </row>
    <row r="142" spans="1:27" s="19" customFormat="1" x14ac:dyDescent="0.2">
      <c r="B142" s="75" t="s">
        <v>117</v>
      </c>
      <c r="C142" s="76"/>
      <c r="D142" s="76"/>
      <c r="E142" s="76"/>
      <c r="F142" s="76"/>
      <c r="G142" s="76"/>
      <c r="H142" s="76"/>
      <c r="I142" s="76"/>
      <c r="J142" s="77"/>
      <c r="K142" s="81"/>
      <c r="L142" s="82"/>
    </row>
    <row r="143" spans="1:27" s="19" customFormat="1" x14ac:dyDescent="0.2">
      <c r="B143" s="75" t="s">
        <v>114</v>
      </c>
      <c r="C143" s="76"/>
      <c r="D143" s="76"/>
      <c r="E143" s="76"/>
      <c r="F143" s="76"/>
      <c r="G143" s="76"/>
      <c r="H143" s="76"/>
      <c r="I143" s="76"/>
      <c r="J143" s="77"/>
      <c r="K143" s="81"/>
      <c r="L143" s="82"/>
    </row>
    <row r="144" spans="1:27" s="19" customFormat="1" x14ac:dyDescent="0.2">
      <c r="B144" s="75" t="s">
        <v>119</v>
      </c>
      <c r="C144" s="76"/>
      <c r="D144" s="77"/>
      <c r="E144" s="123"/>
      <c r="F144" s="124"/>
      <c r="G144" s="124"/>
      <c r="H144" s="124"/>
      <c r="I144" s="124"/>
      <c r="J144" s="125"/>
      <c r="K144" s="81"/>
      <c r="L144" s="82"/>
    </row>
    <row r="145" spans="2:13" s="19" customFormat="1" x14ac:dyDescent="0.2">
      <c r="B145" s="58" t="s">
        <v>120</v>
      </c>
      <c r="C145" s="59"/>
      <c r="D145" s="59"/>
      <c r="E145" s="59"/>
      <c r="F145" s="59"/>
      <c r="G145" s="59"/>
      <c r="H145" s="59"/>
      <c r="I145" s="59"/>
      <c r="J145" s="59"/>
      <c r="K145" s="128">
        <f>SUM(K140:L144)</f>
        <v>0</v>
      </c>
      <c r="L145" s="129"/>
    </row>
    <row r="146" spans="2:13" s="19" customFormat="1" ht="12" x14ac:dyDescent="0.2"/>
    <row r="147" spans="2:13" s="19" customFormat="1" ht="14.25" customHeight="1" thickBot="1" x14ac:dyDescent="0.25">
      <c r="B147" s="96" t="s">
        <v>255</v>
      </c>
      <c r="C147" s="96"/>
      <c r="D147" s="96"/>
      <c r="E147" s="96"/>
      <c r="F147" s="96"/>
      <c r="G147" s="96"/>
      <c r="H147" s="96"/>
      <c r="I147" s="96"/>
      <c r="J147" s="96"/>
      <c r="K147" s="96"/>
      <c r="L147" s="24"/>
    </row>
    <row r="148" spans="2:13" s="19" customFormat="1" ht="13" thickTop="1" x14ac:dyDescent="0.2">
      <c r="B148" s="10" t="s">
        <v>89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2:13" s="19" customFormat="1" ht="27" customHeight="1" x14ac:dyDescent="0.2">
      <c r="B149" s="78" t="s">
        <v>256</v>
      </c>
      <c r="C149" s="79"/>
      <c r="D149" s="79"/>
      <c r="E149" s="79"/>
      <c r="F149" s="79"/>
      <c r="G149" s="80"/>
      <c r="H149" s="44" t="s">
        <v>66</v>
      </c>
      <c r="I149" s="44" t="s">
        <v>67</v>
      </c>
      <c r="J149" s="44" t="s">
        <v>68</v>
      </c>
      <c r="K149" s="44" t="s">
        <v>147</v>
      </c>
    </row>
    <row r="150" spans="2:13" s="19" customFormat="1" ht="12" x14ac:dyDescent="0.2">
      <c r="B150" s="75" t="s">
        <v>108</v>
      </c>
      <c r="C150" s="76"/>
      <c r="D150" s="76"/>
      <c r="E150" s="76"/>
      <c r="F150" s="76"/>
      <c r="G150" s="77"/>
      <c r="H150" s="9"/>
      <c r="I150" s="9"/>
      <c r="J150" s="9"/>
      <c r="K150" s="9"/>
    </row>
    <row r="151" spans="2:13" s="19" customFormat="1" ht="12" x14ac:dyDescent="0.2">
      <c r="B151" s="75" t="s">
        <v>109</v>
      </c>
      <c r="C151" s="76"/>
      <c r="D151" s="76"/>
      <c r="E151" s="76"/>
      <c r="F151" s="76"/>
      <c r="G151" s="77"/>
      <c r="H151" s="9"/>
      <c r="I151" s="9"/>
      <c r="J151" s="9"/>
      <c r="K151" s="9"/>
    </row>
    <row r="152" spans="2:13" s="19" customFormat="1" ht="12" x14ac:dyDescent="0.2">
      <c r="B152" s="75" t="s">
        <v>110</v>
      </c>
      <c r="C152" s="76"/>
      <c r="D152" s="76"/>
      <c r="E152" s="76"/>
      <c r="F152" s="76"/>
      <c r="G152" s="77"/>
      <c r="H152" s="9"/>
      <c r="I152" s="9"/>
      <c r="J152" s="9"/>
      <c r="K152" s="9"/>
    </row>
    <row r="153" spans="2:13" s="19" customFormat="1" ht="12" x14ac:dyDescent="0.2">
      <c r="B153" s="75" t="s">
        <v>136</v>
      </c>
      <c r="C153" s="76"/>
      <c r="D153" s="76"/>
      <c r="E153" s="76"/>
      <c r="F153" s="76"/>
      <c r="G153" s="77"/>
      <c r="H153" s="9"/>
      <c r="I153" s="9"/>
      <c r="J153" s="9"/>
      <c r="K153" s="9"/>
    </row>
    <row r="154" spans="2:13" s="19" customFormat="1" ht="12" x14ac:dyDescent="0.2">
      <c r="B154" s="75" t="s">
        <v>174</v>
      </c>
      <c r="C154" s="76"/>
      <c r="D154" s="76"/>
      <c r="E154" s="76"/>
      <c r="F154" s="76"/>
      <c r="G154" s="77"/>
      <c r="H154" s="9"/>
      <c r="I154" s="9"/>
      <c r="J154" s="9"/>
      <c r="K154" s="9"/>
    </row>
    <row r="155" spans="2:13" s="19" customFormat="1" ht="12" x14ac:dyDescent="0.2">
      <c r="B155" s="75" t="s">
        <v>111</v>
      </c>
      <c r="C155" s="76"/>
      <c r="D155" s="76"/>
      <c r="E155" s="76"/>
      <c r="F155" s="76"/>
      <c r="G155" s="77"/>
      <c r="H155" s="9"/>
      <c r="I155" s="9"/>
      <c r="J155" s="9"/>
      <c r="K155" s="9"/>
    </row>
    <row r="156" spans="2:13" s="19" customFormat="1" ht="12" x14ac:dyDescent="0.2">
      <c r="B156" s="85" t="s">
        <v>69</v>
      </c>
      <c r="C156" s="86"/>
      <c r="D156" s="86"/>
      <c r="E156" s="86"/>
      <c r="F156" s="86"/>
      <c r="G156" s="87"/>
      <c r="H156" s="45">
        <f>SUM(H150:H155)</f>
        <v>0</v>
      </c>
      <c r="I156" s="45">
        <f>SUM(I150:I155)</f>
        <v>0</v>
      </c>
      <c r="J156" s="45">
        <f>SUM(J150:J155)</f>
        <v>0</v>
      </c>
      <c r="K156" s="45">
        <f>SUM(K150:K155)</f>
        <v>0</v>
      </c>
    </row>
    <row r="157" spans="2:13" s="19" customFormat="1" ht="12" x14ac:dyDescent="0.2">
      <c r="B157" s="10" t="s">
        <v>90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2:13" s="19" customFormat="1" ht="27" customHeight="1" x14ac:dyDescent="0.2">
      <c r="B158" s="78" t="s">
        <v>258</v>
      </c>
      <c r="C158" s="79"/>
      <c r="D158" s="79"/>
      <c r="E158" s="79"/>
      <c r="F158" s="79"/>
      <c r="G158" s="80"/>
      <c r="H158" s="44" t="s">
        <v>66</v>
      </c>
      <c r="I158" s="44" t="s">
        <v>67</v>
      </c>
      <c r="J158" s="44" t="s">
        <v>68</v>
      </c>
      <c r="K158" s="44" t="s">
        <v>147</v>
      </c>
    </row>
    <row r="159" spans="2:13" s="19" customFormat="1" ht="12" x14ac:dyDescent="0.2">
      <c r="B159" s="75" t="s">
        <v>175</v>
      </c>
      <c r="C159" s="76"/>
      <c r="D159" s="76"/>
      <c r="E159" s="76"/>
      <c r="F159" s="76"/>
      <c r="G159" s="17"/>
      <c r="H159" s="9"/>
      <c r="I159" s="9"/>
      <c r="J159" s="9"/>
      <c r="K159" s="9"/>
    </row>
    <row r="160" spans="2:13" s="19" customFormat="1" ht="12" x14ac:dyDescent="0.2">
      <c r="B160" s="75" t="s">
        <v>176</v>
      </c>
      <c r="C160" s="76"/>
      <c r="D160" s="76"/>
      <c r="E160" s="76"/>
      <c r="F160" s="76"/>
      <c r="G160" s="17"/>
      <c r="H160" s="9"/>
      <c r="I160" s="9"/>
      <c r="J160" s="9"/>
      <c r="K160" s="9"/>
    </row>
    <row r="161" spans="2:14" s="19" customFormat="1" ht="12" x14ac:dyDescent="0.2">
      <c r="B161" s="75" t="s">
        <v>177</v>
      </c>
      <c r="C161" s="76"/>
      <c r="D161" s="76"/>
      <c r="E161" s="76"/>
      <c r="F161" s="76"/>
      <c r="G161" s="17"/>
      <c r="H161" s="9"/>
      <c r="I161" s="9"/>
      <c r="J161" s="9"/>
      <c r="K161" s="9"/>
    </row>
    <row r="162" spans="2:14" s="19" customFormat="1" ht="12" x14ac:dyDescent="0.2">
      <c r="B162" s="75" t="s">
        <v>200</v>
      </c>
      <c r="C162" s="76"/>
      <c r="D162" s="76"/>
      <c r="E162" s="76"/>
      <c r="F162" s="76"/>
      <c r="G162" s="17"/>
      <c r="H162" s="9"/>
      <c r="I162" s="9"/>
      <c r="J162" s="9"/>
      <c r="K162" s="9"/>
    </row>
    <row r="163" spans="2:14" s="19" customFormat="1" ht="12" x14ac:dyDescent="0.2">
      <c r="B163" s="75" t="s">
        <v>178</v>
      </c>
      <c r="C163" s="76"/>
      <c r="D163" s="76"/>
      <c r="E163" s="76"/>
      <c r="F163" s="76"/>
      <c r="G163" s="17"/>
      <c r="H163" s="9"/>
      <c r="I163" s="9"/>
      <c r="J163" s="9"/>
      <c r="K163" s="9"/>
    </row>
    <row r="164" spans="2:14" s="19" customFormat="1" ht="12" x14ac:dyDescent="0.2">
      <c r="B164" s="75" t="s">
        <v>179</v>
      </c>
      <c r="C164" s="76"/>
      <c r="D164" s="76"/>
      <c r="E164" s="76"/>
      <c r="F164" s="76"/>
      <c r="G164" s="17"/>
      <c r="H164" s="9"/>
      <c r="I164" s="9"/>
      <c r="J164" s="9"/>
      <c r="K164" s="9"/>
    </row>
    <row r="165" spans="2:14" s="19" customFormat="1" ht="12" x14ac:dyDescent="0.2">
      <c r="B165" s="85" t="s">
        <v>69</v>
      </c>
      <c r="C165" s="86"/>
      <c r="D165" s="86"/>
      <c r="E165" s="86"/>
      <c r="F165" s="86"/>
      <c r="G165" s="18"/>
      <c r="H165" s="45">
        <f>SUM(H159:H164)</f>
        <v>0</v>
      </c>
      <c r="I165" s="45">
        <f>SUM(I159:I164)</f>
        <v>0</v>
      </c>
      <c r="J165" s="45">
        <f>SUM(J159:J164)</f>
        <v>0</v>
      </c>
      <c r="K165" s="45">
        <f>SUM(K159:K164)</f>
        <v>0</v>
      </c>
    </row>
    <row r="166" spans="2:14" s="19" customFormat="1" ht="12" x14ac:dyDescent="0.2">
      <c r="B166" s="10" t="s">
        <v>124</v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spans="2:14" s="19" customFormat="1" ht="25.5" customHeight="1" x14ac:dyDescent="0.2">
      <c r="B167" s="78" t="s">
        <v>257</v>
      </c>
      <c r="C167" s="79"/>
      <c r="D167" s="79"/>
      <c r="E167" s="79"/>
      <c r="F167" s="79"/>
      <c r="G167" s="80"/>
      <c r="H167" s="70" t="s">
        <v>66</v>
      </c>
      <c r="I167" s="70" t="s">
        <v>67</v>
      </c>
      <c r="J167" s="70" t="s">
        <v>68</v>
      </c>
      <c r="K167" s="70" t="s">
        <v>147</v>
      </c>
    </row>
    <row r="168" spans="2:14" s="19" customFormat="1" ht="12" x14ac:dyDescent="0.2">
      <c r="B168" s="75" t="s">
        <v>81</v>
      </c>
      <c r="C168" s="76"/>
      <c r="D168" s="76"/>
      <c r="E168" s="76"/>
      <c r="F168" s="76"/>
      <c r="G168" s="17"/>
      <c r="H168" s="8"/>
      <c r="I168" s="8"/>
      <c r="J168" s="8"/>
      <c r="K168" s="8"/>
    </row>
    <row r="169" spans="2:14" s="19" customFormat="1" ht="12" x14ac:dyDescent="0.2">
      <c r="B169" s="75" t="s">
        <v>82</v>
      </c>
      <c r="C169" s="76"/>
      <c r="D169" s="76"/>
      <c r="E169" s="76"/>
      <c r="F169" s="76"/>
      <c r="G169" s="17"/>
      <c r="H169" s="8"/>
      <c r="I169" s="8"/>
      <c r="J169" s="8"/>
      <c r="K169" s="8"/>
    </row>
    <row r="170" spans="2:14" s="19" customFormat="1" ht="12" x14ac:dyDescent="0.2">
      <c r="B170" s="75" t="s">
        <v>83</v>
      </c>
      <c r="C170" s="76"/>
      <c r="D170" s="76"/>
      <c r="E170" s="76"/>
      <c r="F170" s="76"/>
      <c r="G170" s="17"/>
      <c r="H170" s="8"/>
      <c r="I170" s="8"/>
      <c r="J170" s="8"/>
      <c r="K170" s="8"/>
    </row>
    <row r="171" spans="2:14" s="19" customFormat="1" ht="12" x14ac:dyDescent="0.2">
      <c r="B171" s="75" t="s">
        <v>84</v>
      </c>
      <c r="C171" s="76"/>
      <c r="D171" s="76"/>
      <c r="E171" s="76"/>
      <c r="F171" s="76"/>
      <c r="G171" s="17"/>
      <c r="H171" s="8"/>
      <c r="I171" s="8"/>
      <c r="J171" s="8"/>
      <c r="K171" s="8"/>
    </row>
    <row r="172" spans="2:14" s="19" customFormat="1" ht="12" x14ac:dyDescent="0.2">
      <c r="B172" s="75" t="s">
        <v>85</v>
      </c>
      <c r="C172" s="76"/>
      <c r="D172" s="76"/>
      <c r="E172" s="76"/>
      <c r="F172" s="76"/>
      <c r="G172" s="17"/>
      <c r="H172" s="8"/>
      <c r="I172" s="8"/>
      <c r="J172" s="8"/>
      <c r="K172" s="8"/>
    </row>
    <row r="173" spans="2:14" s="19" customFormat="1" ht="12" x14ac:dyDescent="0.2">
      <c r="B173" s="75" t="s">
        <v>86</v>
      </c>
      <c r="C173" s="76"/>
      <c r="D173" s="76"/>
      <c r="E173" s="76"/>
      <c r="F173" s="76"/>
      <c r="G173" s="17"/>
      <c r="H173" s="8"/>
      <c r="I173" s="8"/>
      <c r="J173" s="8"/>
      <c r="K173" s="8"/>
    </row>
    <row r="174" spans="2:14" s="19" customFormat="1" ht="12" x14ac:dyDescent="0.2">
      <c r="B174" s="75" t="s">
        <v>87</v>
      </c>
      <c r="C174" s="76"/>
      <c r="D174" s="76"/>
      <c r="E174" s="76"/>
      <c r="F174" s="76"/>
      <c r="G174" s="17"/>
      <c r="H174" s="8"/>
      <c r="I174" s="8"/>
      <c r="J174" s="8"/>
      <c r="K174" s="8"/>
    </row>
    <row r="175" spans="2:14" s="19" customFormat="1" ht="12" x14ac:dyDescent="0.2">
      <c r="B175" s="85" t="s">
        <v>13</v>
      </c>
      <c r="C175" s="86"/>
      <c r="D175" s="86"/>
      <c r="E175" s="86"/>
      <c r="F175" s="86"/>
      <c r="G175" s="18"/>
      <c r="H175" s="45">
        <f>SUM(H168:H174)</f>
        <v>0</v>
      </c>
      <c r="I175" s="45">
        <f>SUM(I168:I174)</f>
        <v>0</v>
      </c>
      <c r="J175" s="45">
        <f>SUM(J168:J174)</f>
        <v>0</v>
      </c>
      <c r="K175" s="45">
        <f>SUM(K168:K174)</f>
        <v>0</v>
      </c>
    </row>
    <row r="176" spans="2:14" s="19" customFormat="1" ht="12" x14ac:dyDescent="0.2">
      <c r="B176" s="10" t="s">
        <v>125</v>
      </c>
      <c r="C176" s="5"/>
      <c r="D176" s="5"/>
      <c r="E176" s="5"/>
      <c r="F176" s="5"/>
      <c r="G176" s="5"/>
      <c r="H176" s="5"/>
      <c r="I176" s="5"/>
      <c r="J176" s="5"/>
      <c r="K176" s="5"/>
    </row>
    <row r="177" spans="2:11" s="19" customFormat="1" ht="27" customHeight="1" x14ac:dyDescent="0.2">
      <c r="B177" s="78" t="s">
        <v>259</v>
      </c>
      <c r="C177" s="79"/>
      <c r="D177" s="79"/>
      <c r="E177" s="79"/>
      <c r="F177" s="79"/>
      <c r="G177" s="51"/>
      <c r="H177" s="46" t="s">
        <v>66</v>
      </c>
      <c r="I177" s="46" t="s">
        <v>67</v>
      </c>
      <c r="J177" s="46" t="s">
        <v>68</v>
      </c>
      <c r="K177" s="44" t="s">
        <v>147</v>
      </c>
    </row>
    <row r="178" spans="2:11" s="19" customFormat="1" ht="12" x14ac:dyDescent="0.2">
      <c r="B178" s="75" t="s">
        <v>232</v>
      </c>
      <c r="C178" s="76"/>
      <c r="D178" s="76"/>
      <c r="E178" s="76"/>
      <c r="F178" s="76"/>
      <c r="G178" s="77"/>
      <c r="H178" s="9"/>
      <c r="I178" s="9"/>
      <c r="J178" s="9"/>
      <c r="K178" s="9"/>
    </row>
    <row r="179" spans="2:11" s="19" customFormat="1" ht="12" x14ac:dyDescent="0.2">
      <c r="B179" s="75" t="s">
        <v>72</v>
      </c>
      <c r="C179" s="76"/>
      <c r="D179" s="76"/>
      <c r="E179" s="76"/>
      <c r="F179" s="76"/>
      <c r="G179" s="77"/>
      <c r="H179" s="9"/>
      <c r="I179" s="9"/>
      <c r="J179" s="9"/>
      <c r="K179" s="9"/>
    </row>
    <row r="180" spans="2:11" s="19" customFormat="1" ht="12" x14ac:dyDescent="0.2">
      <c r="B180" s="75" t="s">
        <v>73</v>
      </c>
      <c r="C180" s="76"/>
      <c r="D180" s="76"/>
      <c r="E180" s="76"/>
      <c r="F180" s="76"/>
      <c r="G180" s="77"/>
      <c r="H180" s="9"/>
      <c r="I180" s="9"/>
      <c r="J180" s="9"/>
      <c r="K180" s="9"/>
    </row>
    <row r="181" spans="2:11" s="19" customFormat="1" ht="12" x14ac:dyDescent="0.2">
      <c r="B181" s="75" t="s">
        <v>74</v>
      </c>
      <c r="C181" s="76"/>
      <c r="D181" s="76"/>
      <c r="E181" s="76"/>
      <c r="F181" s="76"/>
      <c r="G181" s="77"/>
      <c r="H181" s="9"/>
      <c r="I181" s="9"/>
      <c r="J181" s="9"/>
      <c r="K181" s="9"/>
    </row>
    <row r="182" spans="2:11" s="19" customFormat="1" ht="12" x14ac:dyDescent="0.2">
      <c r="B182" s="75" t="s">
        <v>75</v>
      </c>
      <c r="C182" s="76"/>
      <c r="D182" s="76"/>
      <c r="E182" s="76"/>
      <c r="F182" s="76"/>
      <c r="G182" s="77"/>
      <c r="H182" s="9"/>
      <c r="I182" s="9"/>
      <c r="J182" s="9"/>
      <c r="K182" s="9"/>
    </row>
    <row r="183" spans="2:11" s="19" customFormat="1" ht="12" x14ac:dyDescent="0.2">
      <c r="B183" s="75" t="s">
        <v>76</v>
      </c>
      <c r="C183" s="76"/>
      <c r="D183" s="76"/>
      <c r="E183" s="76"/>
      <c r="F183" s="76"/>
      <c r="G183" s="77"/>
      <c r="H183" s="9"/>
      <c r="I183" s="9"/>
      <c r="J183" s="9"/>
      <c r="K183" s="9"/>
    </row>
    <row r="184" spans="2:11" s="19" customFormat="1" ht="12" x14ac:dyDescent="0.2">
      <c r="B184" s="75" t="s">
        <v>238</v>
      </c>
      <c r="C184" s="76"/>
      <c r="D184" s="76"/>
      <c r="E184" s="76"/>
      <c r="F184" s="76"/>
      <c r="G184" s="77"/>
      <c r="H184" s="9"/>
      <c r="I184" s="9"/>
      <c r="J184" s="9"/>
      <c r="K184" s="9"/>
    </row>
    <row r="185" spans="2:11" s="19" customFormat="1" ht="12" x14ac:dyDescent="0.2">
      <c r="B185" s="75" t="s">
        <v>237</v>
      </c>
      <c r="C185" s="76"/>
      <c r="D185" s="76"/>
      <c r="E185" s="76"/>
      <c r="F185" s="76"/>
      <c r="G185" s="77"/>
      <c r="H185" s="9"/>
      <c r="I185" s="9"/>
      <c r="J185" s="9"/>
      <c r="K185" s="9"/>
    </row>
    <row r="186" spans="2:11" s="19" customFormat="1" ht="12" x14ac:dyDescent="0.2">
      <c r="B186" s="15" t="s">
        <v>236</v>
      </c>
      <c r="C186" s="16"/>
      <c r="D186" s="16"/>
      <c r="E186" s="16"/>
      <c r="F186" s="16"/>
      <c r="G186" s="17"/>
      <c r="H186" s="9"/>
      <c r="I186" s="9"/>
      <c r="J186" s="9"/>
      <c r="K186" s="9"/>
    </row>
    <row r="187" spans="2:11" s="19" customFormat="1" ht="12" x14ac:dyDescent="0.2">
      <c r="B187" s="75" t="s">
        <v>233</v>
      </c>
      <c r="C187" s="76"/>
      <c r="D187" s="76"/>
      <c r="E187" s="76"/>
      <c r="F187" s="76"/>
      <c r="G187" s="77"/>
      <c r="H187" s="9"/>
      <c r="I187" s="9"/>
      <c r="J187" s="9"/>
      <c r="K187" s="9"/>
    </row>
    <row r="188" spans="2:11" s="19" customFormat="1" ht="12" x14ac:dyDescent="0.2">
      <c r="B188" s="15" t="s">
        <v>234</v>
      </c>
      <c r="C188" s="16"/>
      <c r="D188" s="16"/>
      <c r="E188" s="16"/>
      <c r="F188" s="16"/>
      <c r="G188" s="17"/>
      <c r="H188" s="9"/>
      <c r="I188" s="9"/>
      <c r="J188" s="9"/>
      <c r="K188" s="9"/>
    </row>
    <row r="189" spans="2:11" s="19" customFormat="1" ht="11.5" customHeight="1" x14ac:dyDescent="0.2">
      <c r="B189" s="75" t="s">
        <v>77</v>
      </c>
      <c r="C189" s="76"/>
      <c r="D189" s="76"/>
      <c r="E189" s="76"/>
      <c r="F189" s="76"/>
      <c r="G189" s="77"/>
      <c r="H189" s="9"/>
      <c r="I189" s="9"/>
      <c r="J189" s="9"/>
      <c r="K189" s="9"/>
    </row>
    <row r="190" spans="2:11" s="19" customFormat="1" ht="12" x14ac:dyDescent="0.2">
      <c r="B190" s="15" t="s">
        <v>235</v>
      </c>
      <c r="C190" s="16"/>
      <c r="D190" s="16"/>
      <c r="E190" s="16"/>
      <c r="F190" s="16"/>
      <c r="G190" s="17"/>
      <c r="H190" s="9"/>
      <c r="I190" s="9"/>
      <c r="J190" s="9"/>
      <c r="K190" s="9"/>
    </row>
    <row r="191" spans="2:11" s="19" customFormat="1" ht="12" x14ac:dyDescent="0.2">
      <c r="B191" s="75" t="s">
        <v>198</v>
      </c>
      <c r="C191" s="76"/>
      <c r="D191" s="76"/>
      <c r="E191" s="76"/>
      <c r="F191" s="76"/>
      <c r="G191" s="77"/>
      <c r="H191" s="9"/>
      <c r="I191" s="9"/>
      <c r="J191" s="9"/>
      <c r="K191" s="9"/>
    </row>
    <row r="192" spans="2:11" s="19" customFormat="1" ht="12" x14ac:dyDescent="0.2">
      <c r="B192" s="75" t="s">
        <v>196</v>
      </c>
      <c r="C192" s="76"/>
      <c r="D192" s="76"/>
      <c r="E192" s="76"/>
      <c r="F192" s="76"/>
      <c r="G192" s="77"/>
      <c r="H192" s="9"/>
      <c r="I192" s="9"/>
      <c r="J192" s="9"/>
      <c r="K192" s="9"/>
    </row>
    <row r="193" spans="2:11" s="19" customFormat="1" ht="12" x14ac:dyDescent="0.2">
      <c r="B193" s="75" t="s">
        <v>78</v>
      </c>
      <c r="C193" s="76"/>
      <c r="D193" s="76"/>
      <c r="E193" s="76"/>
      <c r="F193" s="76"/>
      <c r="G193" s="77"/>
      <c r="H193" s="9"/>
      <c r="I193" s="9"/>
      <c r="J193" s="9"/>
      <c r="K193" s="9"/>
    </row>
    <row r="194" spans="2:11" s="19" customFormat="1" ht="12" x14ac:dyDescent="0.2">
      <c r="B194" s="15" t="s">
        <v>197</v>
      </c>
      <c r="C194" s="16"/>
      <c r="D194" s="16"/>
      <c r="E194" s="16"/>
      <c r="F194" s="16"/>
      <c r="G194" s="17"/>
      <c r="H194" s="9"/>
      <c r="I194" s="9"/>
      <c r="J194" s="9"/>
      <c r="K194" s="9"/>
    </row>
    <row r="195" spans="2:11" s="19" customFormat="1" ht="12" x14ac:dyDescent="0.2">
      <c r="B195" s="15" t="s">
        <v>199</v>
      </c>
      <c r="C195" s="16"/>
      <c r="D195" s="16"/>
      <c r="E195" s="16"/>
      <c r="F195" s="16"/>
      <c r="G195" s="17"/>
      <c r="H195" s="9"/>
      <c r="I195" s="9"/>
      <c r="J195" s="9"/>
      <c r="K195" s="9"/>
    </row>
    <row r="196" spans="2:11" s="19" customFormat="1" ht="12" x14ac:dyDescent="0.2">
      <c r="B196" s="75" t="s">
        <v>79</v>
      </c>
      <c r="C196" s="76"/>
      <c r="D196" s="76"/>
      <c r="E196" s="76"/>
      <c r="F196" s="76"/>
      <c r="G196" s="77"/>
      <c r="H196" s="9"/>
      <c r="I196" s="9"/>
      <c r="J196" s="9"/>
      <c r="K196" s="9"/>
    </row>
    <row r="197" spans="2:11" s="19" customFormat="1" ht="12" x14ac:dyDescent="0.2">
      <c r="B197" s="85" t="s">
        <v>13</v>
      </c>
      <c r="C197" s="86"/>
      <c r="D197" s="86"/>
      <c r="E197" s="86"/>
      <c r="F197" s="86"/>
      <c r="G197" s="87"/>
      <c r="H197" s="45">
        <f>SUM(H178:H196)</f>
        <v>0</v>
      </c>
      <c r="I197" s="45">
        <f>SUM(I178:I196)</f>
        <v>0</v>
      </c>
      <c r="J197" s="45">
        <f>SUM(J178:J196)</f>
        <v>0</v>
      </c>
      <c r="K197" s="45">
        <f>SUM(K178:K196)</f>
        <v>0</v>
      </c>
    </row>
    <row r="198" spans="2:11" s="19" customFormat="1" ht="12" x14ac:dyDescent="0.2">
      <c r="B198" s="10" t="s">
        <v>193</v>
      </c>
      <c r="C198" s="5"/>
      <c r="D198" s="5"/>
      <c r="E198" s="5"/>
      <c r="F198" s="5"/>
      <c r="G198" s="5"/>
      <c r="H198" s="5"/>
      <c r="I198" s="5"/>
      <c r="J198" s="5"/>
      <c r="K198" s="5"/>
    </row>
    <row r="199" spans="2:11" s="19" customFormat="1" ht="27" customHeight="1" x14ac:dyDescent="0.2">
      <c r="B199" s="78" t="s">
        <v>260</v>
      </c>
      <c r="C199" s="79"/>
      <c r="D199" s="79"/>
      <c r="E199" s="79"/>
      <c r="F199" s="79"/>
      <c r="G199" s="51"/>
      <c r="H199" s="47" t="s">
        <v>66</v>
      </c>
      <c r="I199" s="47" t="s">
        <v>67</v>
      </c>
      <c r="J199" s="47" t="s">
        <v>68</v>
      </c>
      <c r="K199" s="44" t="s">
        <v>147</v>
      </c>
    </row>
    <row r="200" spans="2:11" s="19" customFormat="1" ht="12" x14ac:dyDescent="0.15">
      <c r="B200" s="75" t="s">
        <v>91</v>
      </c>
      <c r="C200" s="76"/>
      <c r="D200" s="76"/>
      <c r="E200" s="76"/>
      <c r="F200" s="76"/>
      <c r="G200" s="77"/>
      <c r="H200" s="48"/>
      <c r="I200" s="48"/>
      <c r="J200" s="48"/>
      <c r="K200" s="48"/>
    </row>
    <row r="201" spans="2:11" s="19" customFormat="1" ht="12" x14ac:dyDescent="0.15">
      <c r="B201" s="75" t="s">
        <v>92</v>
      </c>
      <c r="C201" s="76"/>
      <c r="D201" s="76"/>
      <c r="E201" s="76"/>
      <c r="F201" s="76"/>
      <c r="G201" s="17"/>
      <c r="H201" s="48"/>
      <c r="I201" s="48"/>
      <c r="J201" s="48"/>
      <c r="K201" s="48"/>
    </row>
    <row r="202" spans="2:11" s="19" customFormat="1" ht="12" x14ac:dyDescent="0.15">
      <c r="B202" s="75" t="s">
        <v>93</v>
      </c>
      <c r="C202" s="76"/>
      <c r="D202" s="76"/>
      <c r="E202" s="76"/>
      <c r="F202" s="76"/>
      <c r="G202" s="17"/>
      <c r="H202" s="48"/>
      <c r="I202" s="48"/>
      <c r="J202" s="48"/>
      <c r="K202" s="48"/>
    </row>
    <row r="203" spans="2:11" s="19" customFormat="1" ht="12" x14ac:dyDescent="0.15">
      <c r="B203" s="75" t="s">
        <v>94</v>
      </c>
      <c r="C203" s="76"/>
      <c r="D203" s="76"/>
      <c r="E203" s="76"/>
      <c r="F203" s="76"/>
      <c r="G203" s="17"/>
      <c r="H203" s="48"/>
      <c r="I203" s="48"/>
      <c r="J203" s="48"/>
      <c r="K203" s="48"/>
    </row>
    <row r="204" spans="2:11" s="19" customFormat="1" ht="12" x14ac:dyDescent="0.15">
      <c r="B204" s="75" t="s">
        <v>95</v>
      </c>
      <c r="C204" s="76"/>
      <c r="D204" s="76"/>
      <c r="E204" s="76"/>
      <c r="F204" s="76"/>
      <c r="G204" s="17"/>
      <c r="H204" s="48"/>
      <c r="I204" s="48"/>
      <c r="J204" s="48"/>
      <c r="K204" s="48"/>
    </row>
    <row r="205" spans="2:11" s="19" customFormat="1" ht="12" x14ac:dyDescent="0.15">
      <c r="B205" s="75" t="s">
        <v>96</v>
      </c>
      <c r="C205" s="76"/>
      <c r="D205" s="76"/>
      <c r="E205" s="76"/>
      <c r="F205" s="76"/>
      <c r="G205" s="17"/>
      <c r="H205" s="48"/>
      <c r="I205" s="48"/>
      <c r="J205" s="48"/>
      <c r="K205" s="48"/>
    </row>
    <row r="206" spans="2:11" s="19" customFormat="1" ht="12" x14ac:dyDescent="0.15">
      <c r="B206" s="75" t="s">
        <v>97</v>
      </c>
      <c r="C206" s="76"/>
      <c r="D206" s="76"/>
      <c r="E206" s="76"/>
      <c r="F206" s="76"/>
      <c r="G206" s="17"/>
      <c r="H206" s="48"/>
      <c r="I206" s="48"/>
      <c r="J206" s="48"/>
      <c r="K206" s="48"/>
    </row>
    <row r="207" spans="2:11" s="19" customFormat="1" ht="12" x14ac:dyDescent="0.15">
      <c r="B207" s="75" t="s">
        <v>98</v>
      </c>
      <c r="C207" s="76"/>
      <c r="D207" s="76"/>
      <c r="E207" s="76"/>
      <c r="F207" s="76"/>
      <c r="G207" s="17"/>
      <c r="H207" s="48"/>
      <c r="I207" s="48"/>
      <c r="J207" s="48"/>
      <c r="K207" s="48"/>
    </row>
    <row r="208" spans="2:11" s="19" customFormat="1" ht="12" x14ac:dyDescent="0.15">
      <c r="B208" s="75" t="s">
        <v>99</v>
      </c>
      <c r="C208" s="76"/>
      <c r="D208" s="76"/>
      <c r="E208" s="76"/>
      <c r="F208" s="76"/>
      <c r="G208" s="17"/>
      <c r="H208" s="48"/>
      <c r="I208" s="48"/>
      <c r="J208" s="48"/>
      <c r="K208" s="48"/>
    </row>
    <row r="209" spans="2:23" s="19" customFormat="1" ht="12" x14ac:dyDescent="0.15">
      <c r="B209" s="75" t="s">
        <v>100</v>
      </c>
      <c r="C209" s="76"/>
      <c r="D209" s="76"/>
      <c r="E209" s="76"/>
      <c r="F209" s="76"/>
      <c r="G209" s="17"/>
      <c r="H209" s="48"/>
      <c r="I209" s="48"/>
      <c r="J209" s="48"/>
      <c r="K209" s="48"/>
    </row>
    <row r="210" spans="2:23" s="19" customFormat="1" ht="13.5" customHeight="1" x14ac:dyDescent="0.15">
      <c r="B210" s="99" t="s">
        <v>101</v>
      </c>
      <c r="C210" s="100"/>
      <c r="D210" s="75" t="s">
        <v>148</v>
      </c>
      <c r="E210" s="76"/>
      <c r="F210" s="76"/>
      <c r="G210" s="77"/>
      <c r="H210" s="48"/>
      <c r="I210" s="48"/>
      <c r="J210" s="48"/>
      <c r="K210" s="48"/>
    </row>
    <row r="211" spans="2:23" s="19" customFormat="1" ht="12" x14ac:dyDescent="0.15">
      <c r="B211" s="101"/>
      <c r="C211" s="102"/>
      <c r="D211" s="75" t="s">
        <v>103</v>
      </c>
      <c r="E211" s="76"/>
      <c r="F211" s="76"/>
      <c r="G211" s="77"/>
      <c r="H211" s="49"/>
      <c r="I211" s="49"/>
      <c r="J211" s="49"/>
      <c r="K211" s="49"/>
    </row>
    <row r="212" spans="2:23" s="19" customFormat="1" ht="12" x14ac:dyDescent="0.15">
      <c r="B212" s="101"/>
      <c r="C212" s="102"/>
      <c r="D212" s="75" t="s">
        <v>104</v>
      </c>
      <c r="E212" s="76"/>
      <c r="F212" s="76"/>
      <c r="G212" s="77"/>
      <c r="H212" s="48"/>
      <c r="I212" s="48"/>
      <c r="J212" s="48"/>
      <c r="K212" s="48"/>
    </row>
    <row r="213" spans="2:23" s="19" customFormat="1" ht="12" x14ac:dyDescent="0.15">
      <c r="B213" s="101"/>
      <c r="C213" s="102"/>
      <c r="D213" s="75" t="s">
        <v>180</v>
      </c>
      <c r="E213" s="76"/>
      <c r="F213" s="76"/>
      <c r="G213" s="77"/>
      <c r="H213" s="48"/>
      <c r="I213" s="48"/>
      <c r="J213" s="48"/>
      <c r="K213" s="48"/>
    </row>
    <row r="214" spans="2:23" s="19" customFormat="1" ht="12" x14ac:dyDescent="0.15">
      <c r="B214" s="101"/>
      <c r="C214" s="102"/>
      <c r="D214" s="75" t="s">
        <v>181</v>
      </c>
      <c r="E214" s="76"/>
      <c r="F214" s="76"/>
      <c r="G214" s="77"/>
      <c r="H214" s="48"/>
      <c r="I214" s="48"/>
      <c r="J214" s="48"/>
      <c r="K214" s="48"/>
    </row>
    <row r="215" spans="2:23" s="19" customFormat="1" ht="12" x14ac:dyDescent="0.15">
      <c r="B215" s="101"/>
      <c r="C215" s="102"/>
      <c r="D215" s="75" t="s">
        <v>182</v>
      </c>
      <c r="E215" s="76"/>
      <c r="F215" s="76"/>
      <c r="G215" s="77"/>
      <c r="H215" s="48"/>
      <c r="I215" s="48"/>
      <c r="J215" s="48"/>
      <c r="K215" s="48"/>
    </row>
    <row r="216" spans="2:23" s="19" customFormat="1" ht="12" x14ac:dyDescent="0.15">
      <c r="B216" s="101"/>
      <c r="C216" s="102"/>
      <c r="D216" s="75" t="s">
        <v>102</v>
      </c>
      <c r="E216" s="76"/>
      <c r="F216" s="76"/>
      <c r="G216" s="77"/>
      <c r="H216" s="48"/>
      <c r="I216" s="48"/>
      <c r="J216" s="48"/>
      <c r="K216" s="48"/>
    </row>
    <row r="217" spans="2:23" s="19" customFormat="1" ht="12" x14ac:dyDescent="0.15">
      <c r="B217" s="103"/>
      <c r="C217" s="104"/>
      <c r="D217" s="75" t="s">
        <v>105</v>
      </c>
      <c r="E217" s="76"/>
      <c r="F217" s="76"/>
      <c r="G217" s="77"/>
      <c r="H217" s="48"/>
      <c r="I217" s="48"/>
      <c r="J217" s="48"/>
      <c r="K217" s="48"/>
    </row>
    <row r="218" spans="2:23" s="19" customFormat="1" ht="12" x14ac:dyDescent="0.2">
      <c r="B218" s="85" t="s">
        <v>13</v>
      </c>
      <c r="C218" s="86"/>
      <c r="D218" s="86"/>
      <c r="E218" s="86"/>
      <c r="F218" s="86"/>
      <c r="G218" s="18"/>
      <c r="H218" s="45">
        <f>SUM(H200:H217)</f>
        <v>0</v>
      </c>
      <c r="I218" s="45">
        <f>SUM(I200:I217)</f>
        <v>0</v>
      </c>
      <c r="J218" s="45">
        <f>SUM(J200:J217)</f>
        <v>0</v>
      </c>
      <c r="K218" s="45">
        <f>SUM(K200:K217)</f>
        <v>0</v>
      </c>
    </row>
    <row r="219" spans="2:23" s="19" customFormat="1" ht="12" x14ac:dyDescent="0.2">
      <c r="B219" s="10" t="s">
        <v>194</v>
      </c>
      <c r="C219" s="5"/>
      <c r="D219" s="5"/>
      <c r="E219" s="5"/>
      <c r="F219" s="5"/>
      <c r="G219" s="5"/>
      <c r="H219" s="5"/>
      <c r="I219" s="5"/>
      <c r="J219" s="5"/>
      <c r="K219" s="5"/>
    </row>
    <row r="220" spans="2:23" s="19" customFormat="1" ht="27" customHeight="1" x14ac:dyDescent="0.2">
      <c r="B220" s="78" t="s">
        <v>106</v>
      </c>
      <c r="C220" s="79"/>
      <c r="D220" s="79"/>
      <c r="E220" s="79"/>
      <c r="F220" s="79"/>
      <c r="G220" s="51"/>
      <c r="H220" s="47" t="s">
        <v>66</v>
      </c>
      <c r="I220" s="47" t="s">
        <v>67</v>
      </c>
      <c r="J220" s="47" t="s">
        <v>68</v>
      </c>
      <c r="K220" s="44" t="s">
        <v>147</v>
      </c>
    </row>
    <row r="221" spans="2:23" s="19" customFormat="1" ht="12" x14ac:dyDescent="0.15">
      <c r="B221" s="15" t="s">
        <v>261</v>
      </c>
      <c r="C221" s="16"/>
      <c r="D221" s="16"/>
      <c r="E221" s="16"/>
      <c r="F221" s="16"/>
      <c r="G221" s="17"/>
      <c r="H221" s="48"/>
      <c r="I221" s="48"/>
      <c r="J221" s="48"/>
      <c r="K221" s="48"/>
    </row>
    <row r="222" spans="2:23" s="19" customFormat="1" ht="12" x14ac:dyDescent="0.2"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spans="2:23" s="19" customFormat="1" ht="13.5" customHeight="1" x14ac:dyDescent="0.2">
      <c r="B223" s="122" t="s">
        <v>107</v>
      </c>
      <c r="C223" s="122"/>
      <c r="D223" s="122"/>
      <c r="E223" s="122"/>
      <c r="F223" s="122"/>
      <c r="G223" s="122"/>
      <c r="H223" s="122"/>
      <c r="I223" s="122"/>
      <c r="J223" s="122"/>
      <c r="K223" s="122"/>
    </row>
    <row r="224" spans="2:23" s="19" customFormat="1" ht="25.5" customHeight="1" x14ac:dyDescent="0.15">
      <c r="B224" s="130"/>
      <c r="C224" s="130"/>
      <c r="D224" s="130"/>
      <c r="E224" s="130"/>
      <c r="F224" s="130"/>
      <c r="G224" s="130"/>
      <c r="H224" s="130"/>
      <c r="I224" s="130"/>
      <c r="J224" s="130"/>
      <c r="K224" s="130"/>
      <c r="P224" s="33"/>
      <c r="Q224" s="33"/>
      <c r="R224" s="33"/>
      <c r="S224" s="33"/>
      <c r="T224" s="33"/>
      <c r="U224" s="33"/>
      <c r="V224" s="33"/>
      <c r="W224" s="33"/>
    </row>
    <row r="225" spans="1:26" s="19" customFormat="1" ht="12" x14ac:dyDescent="0.2"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S225" s="121"/>
      <c r="T225" s="121"/>
      <c r="U225" s="121"/>
      <c r="V225" s="105"/>
      <c r="W225" s="105"/>
      <c r="X225" s="105"/>
      <c r="Y225" s="105"/>
      <c r="Z225" s="105"/>
    </row>
    <row r="226" spans="1:26" s="19" customFormat="1" ht="12" x14ac:dyDescent="0.2">
      <c r="B226" s="108" t="s">
        <v>16</v>
      </c>
      <c r="C226" s="109"/>
      <c r="D226" s="110"/>
      <c r="E226" s="120"/>
      <c r="F226" s="120"/>
      <c r="G226" s="120"/>
      <c r="H226" s="120"/>
      <c r="I226" s="120"/>
      <c r="J226" s="120"/>
      <c r="K226" s="120"/>
      <c r="Q226" s="121"/>
      <c r="R226" s="121"/>
      <c r="S226" s="121"/>
      <c r="T226" s="106"/>
      <c r="U226" s="106"/>
      <c r="V226" s="106"/>
      <c r="W226" s="106"/>
      <c r="X226" s="106"/>
    </row>
    <row r="227" spans="1:26" s="19" customFormat="1" ht="12" x14ac:dyDescent="0.15">
      <c r="B227" s="108" t="s">
        <v>17</v>
      </c>
      <c r="C227" s="109"/>
      <c r="D227" s="110"/>
      <c r="E227" s="120"/>
      <c r="F227" s="120"/>
      <c r="G227" s="120"/>
      <c r="H227" s="120"/>
      <c r="I227" s="120"/>
      <c r="J227" s="120"/>
      <c r="K227" s="120"/>
      <c r="Q227" s="33"/>
      <c r="R227" s="33"/>
      <c r="S227" s="33"/>
      <c r="T227" s="33"/>
      <c r="U227" s="33"/>
      <c r="V227" s="33"/>
      <c r="W227" s="33"/>
      <c r="X227" s="33"/>
    </row>
    <row r="228" spans="1:26" s="19" customFormat="1" x14ac:dyDescent="0.15">
      <c r="B228" s="108" t="s">
        <v>18</v>
      </c>
      <c r="C228" s="109"/>
      <c r="D228" s="110"/>
      <c r="E228" s="120"/>
      <c r="F228" s="120"/>
      <c r="G228" s="120"/>
      <c r="H228" s="120"/>
      <c r="I228" s="120"/>
      <c r="J228" s="120"/>
      <c r="K228" s="120"/>
      <c r="Q228" s="33"/>
      <c r="R228" s="107"/>
      <c r="S228" s="107"/>
      <c r="T228" s="107"/>
      <c r="U228" s="107"/>
      <c r="V228" s="107"/>
      <c r="W228" s="107"/>
      <c r="X228" s="107"/>
    </row>
    <row r="229" spans="1:26" s="19" customFormat="1" ht="12" x14ac:dyDescent="0.2">
      <c r="B229" s="108" t="s">
        <v>19</v>
      </c>
      <c r="C229" s="109"/>
      <c r="D229" s="110"/>
      <c r="E229" s="120"/>
      <c r="F229" s="120"/>
      <c r="G229" s="120"/>
      <c r="H229" s="120"/>
      <c r="I229" s="120"/>
      <c r="J229" s="120"/>
      <c r="K229" s="120"/>
    </row>
    <row r="230" spans="1:26" s="19" customFormat="1" ht="12" x14ac:dyDescent="0.2"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</row>
    <row r="231" spans="1:26" s="19" customFormat="1" ht="13.5" customHeight="1" x14ac:dyDescent="0.2">
      <c r="A231" s="97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</row>
    <row r="232" spans="1:26" x14ac:dyDescent="0.2"/>
    <row r="233" spans="1:26" x14ac:dyDescent="0.2"/>
  </sheetData>
  <sheetProtection selectLockedCells="1"/>
  <customSheetViews>
    <customSheetView guid="{58DA6C7F-C6B8-49ED-B93B-E4C5313499FE}" scale="150" hiddenRows="1" hiddenColumns="1" topLeftCell="A40">
      <selection activeCell="D4" sqref="D4:M4"/>
      <pageMargins left="0.7" right="0.7" top="0.75" bottom="0.75" header="0.3" footer="0.3"/>
      <pageSetup paperSize="9" orientation="portrait" r:id="rId1"/>
    </customSheetView>
  </customSheetViews>
  <mergeCells count="229">
    <mergeCell ref="B58:C58"/>
    <mergeCell ref="D58:E58"/>
    <mergeCell ref="B40:E40"/>
    <mergeCell ref="B53:E53"/>
    <mergeCell ref="B57:E57"/>
    <mergeCell ref="B81:C81"/>
    <mergeCell ref="D81:E81"/>
    <mergeCell ref="B62:E62"/>
    <mergeCell ref="B66:E66"/>
    <mergeCell ref="B70:E70"/>
    <mergeCell ref="B74:E74"/>
    <mergeCell ref="B75:E75"/>
    <mergeCell ref="B78:E78"/>
    <mergeCell ref="B52:E52"/>
    <mergeCell ref="B41:E41"/>
    <mergeCell ref="B45:E45"/>
    <mergeCell ref="B48:E48"/>
    <mergeCell ref="B76:E76"/>
    <mergeCell ref="B77:E77"/>
    <mergeCell ref="B73:E73"/>
    <mergeCell ref="B229:D229"/>
    <mergeCell ref="B59:E59"/>
    <mergeCell ref="B82:E82"/>
    <mergeCell ref="B144:D144"/>
    <mergeCell ref="B84:E84"/>
    <mergeCell ref="B154:G154"/>
    <mergeCell ref="B155:G155"/>
    <mergeCell ref="B223:K223"/>
    <mergeCell ref="B224:K224"/>
    <mergeCell ref="E226:K226"/>
    <mergeCell ref="B112:E112"/>
    <mergeCell ref="B171:F171"/>
    <mergeCell ref="B165:F165"/>
    <mergeCell ref="B149:G149"/>
    <mergeCell ref="B150:G150"/>
    <mergeCell ref="B158:G158"/>
    <mergeCell ref="B161:F161"/>
    <mergeCell ref="B182:G182"/>
    <mergeCell ref="B183:G183"/>
    <mergeCell ref="B184:G184"/>
    <mergeCell ref="B187:G187"/>
    <mergeCell ref="B189:G189"/>
    <mergeCell ref="E229:K229"/>
    <mergeCell ref="B61:E61"/>
    <mergeCell ref="B56:E56"/>
    <mergeCell ref="B43:E43"/>
    <mergeCell ref="B54:E54"/>
    <mergeCell ref="B55:E55"/>
    <mergeCell ref="S225:U225"/>
    <mergeCell ref="B226:D226"/>
    <mergeCell ref="Q226:S226"/>
    <mergeCell ref="B126:C126"/>
    <mergeCell ref="B127:C127"/>
    <mergeCell ref="B128:F128"/>
    <mergeCell ref="B136:L136"/>
    <mergeCell ref="B131:F131"/>
    <mergeCell ref="B139:J139"/>
    <mergeCell ref="B140:J140"/>
    <mergeCell ref="B141:J141"/>
    <mergeCell ref="B142:J142"/>
    <mergeCell ref="B143:J143"/>
    <mergeCell ref="E144:J144"/>
    <mergeCell ref="B147:K147"/>
    <mergeCell ref="K139:L139"/>
    <mergeCell ref="B80:E80"/>
    <mergeCell ref="K144:L144"/>
    <mergeCell ref="B83:E83"/>
    <mergeCell ref="K145:L145"/>
    <mergeCell ref="B201:F201"/>
    <mergeCell ref="B202:F202"/>
    <mergeCell ref="B203:F203"/>
    <mergeCell ref="B200:G200"/>
    <mergeCell ref="B152:G152"/>
    <mergeCell ref="B153:G153"/>
    <mergeCell ref="E227:K227"/>
    <mergeCell ref="E228:K228"/>
    <mergeCell ref="B178:G178"/>
    <mergeCell ref="B179:G179"/>
    <mergeCell ref="B180:G180"/>
    <mergeCell ref="B181:G181"/>
    <mergeCell ref="D216:G216"/>
    <mergeCell ref="B159:F159"/>
    <mergeCell ref="B160:F160"/>
    <mergeCell ref="B162:F162"/>
    <mergeCell ref="B163:F163"/>
    <mergeCell ref="B10:E10"/>
    <mergeCell ref="B11:E11"/>
    <mergeCell ref="B12:E12"/>
    <mergeCell ref="B9:E9"/>
    <mergeCell ref="B13:E13"/>
    <mergeCell ref="B36:E36"/>
    <mergeCell ref="B4:D4"/>
    <mergeCell ref="B6:D6"/>
    <mergeCell ref="E4:Z4"/>
    <mergeCell ref="E6:Z6"/>
    <mergeCell ref="G8:L8"/>
    <mergeCell ref="N8:S8"/>
    <mergeCell ref="U8:Z8"/>
    <mergeCell ref="B26:E26"/>
    <mergeCell ref="B35:C35"/>
    <mergeCell ref="B29:E29"/>
    <mergeCell ref="B27:E27"/>
    <mergeCell ref="B31:E31"/>
    <mergeCell ref="B24:E24"/>
    <mergeCell ref="B17:E17"/>
    <mergeCell ref="B19:E19"/>
    <mergeCell ref="B20:E20"/>
    <mergeCell ref="B18:E18"/>
    <mergeCell ref="B28:E28"/>
    <mergeCell ref="D217:G217"/>
    <mergeCell ref="V225:Z225"/>
    <mergeCell ref="T226:X226"/>
    <mergeCell ref="R228:X228"/>
    <mergeCell ref="B227:D227"/>
    <mergeCell ref="B39:E39"/>
    <mergeCell ref="B44:E44"/>
    <mergeCell ref="B33:E33"/>
    <mergeCell ref="B21:E21"/>
    <mergeCell ref="B46:E46"/>
    <mergeCell ref="B50:E50"/>
    <mergeCell ref="B22:E22"/>
    <mergeCell ref="B34:E34"/>
    <mergeCell ref="D35:E35"/>
    <mergeCell ref="B37:E37"/>
    <mergeCell ref="B23:E23"/>
    <mergeCell ref="B38:E38"/>
    <mergeCell ref="B42:E42"/>
    <mergeCell ref="B25:E25"/>
    <mergeCell ref="B32:E32"/>
    <mergeCell ref="B228:D228"/>
    <mergeCell ref="B218:F218"/>
    <mergeCell ref="D210:G210"/>
    <mergeCell ref="B199:F199"/>
    <mergeCell ref="B94:C94"/>
    <mergeCell ref="D94:E94"/>
    <mergeCell ref="B95:E95"/>
    <mergeCell ref="B106:E106"/>
    <mergeCell ref="B103:E103"/>
    <mergeCell ref="B113:E113"/>
    <mergeCell ref="B115:E115"/>
    <mergeCell ref="A231:Z231"/>
    <mergeCell ref="B164:F164"/>
    <mergeCell ref="B172:F172"/>
    <mergeCell ref="B173:F173"/>
    <mergeCell ref="B174:F174"/>
    <mergeCell ref="B210:C217"/>
    <mergeCell ref="B220:F220"/>
    <mergeCell ref="B204:F204"/>
    <mergeCell ref="B205:F205"/>
    <mergeCell ref="B206:F206"/>
    <mergeCell ref="B207:F207"/>
    <mergeCell ref="B208:F208"/>
    <mergeCell ref="B209:F209"/>
    <mergeCell ref="B168:F168"/>
    <mergeCell ref="B169:F169"/>
    <mergeCell ref="B197:G197"/>
    <mergeCell ref="B175:F175"/>
    <mergeCell ref="B85:E85"/>
    <mergeCell ref="B122:F122"/>
    <mergeCell ref="D126:F126"/>
    <mergeCell ref="B67:E67"/>
    <mergeCell ref="B68:E68"/>
    <mergeCell ref="B69:E69"/>
    <mergeCell ref="B71:E71"/>
    <mergeCell ref="B72:E72"/>
    <mergeCell ref="B97:E97"/>
    <mergeCell ref="B110:E110"/>
    <mergeCell ref="B111:E111"/>
    <mergeCell ref="B101:E101"/>
    <mergeCell ref="B88:E88"/>
    <mergeCell ref="B86:E86"/>
    <mergeCell ref="B87:E87"/>
    <mergeCell ref="B79:E79"/>
    <mergeCell ref="B99:E99"/>
    <mergeCell ref="B100:E100"/>
    <mergeCell ref="B105:C105"/>
    <mergeCell ref="D105:E105"/>
    <mergeCell ref="B102:E102"/>
    <mergeCell ref="B108:E108"/>
    <mergeCell ref="B109:E109"/>
    <mergeCell ref="B104:E104"/>
    <mergeCell ref="B151:G151"/>
    <mergeCell ref="B185:G185"/>
    <mergeCell ref="B191:G191"/>
    <mergeCell ref="B192:G192"/>
    <mergeCell ref="B193:G193"/>
    <mergeCell ref="B196:G196"/>
    <mergeCell ref="D117:E117"/>
    <mergeCell ref="B118:E118"/>
    <mergeCell ref="B116:E116"/>
    <mergeCell ref="B117:C117"/>
    <mergeCell ref="B156:G156"/>
    <mergeCell ref="B137:L137"/>
    <mergeCell ref="B120:L120"/>
    <mergeCell ref="K140:L140"/>
    <mergeCell ref="B132:F132"/>
    <mergeCell ref="B133:F133"/>
    <mergeCell ref="B134:F134"/>
    <mergeCell ref="B130:F130"/>
    <mergeCell ref="B170:F170"/>
    <mergeCell ref="B177:F177"/>
    <mergeCell ref="D127:F127"/>
    <mergeCell ref="B123:F123"/>
    <mergeCell ref="B124:F124"/>
    <mergeCell ref="B125:F125"/>
    <mergeCell ref="A1:S2"/>
    <mergeCell ref="T1:AA2"/>
    <mergeCell ref="B91:E91"/>
    <mergeCell ref="B89:E89"/>
    <mergeCell ref="B167:G167"/>
    <mergeCell ref="D215:G215"/>
    <mergeCell ref="D214:G214"/>
    <mergeCell ref="D213:G213"/>
    <mergeCell ref="D212:G212"/>
    <mergeCell ref="D211:G211"/>
    <mergeCell ref="B98:E98"/>
    <mergeCell ref="B93:E93"/>
    <mergeCell ref="B90:E90"/>
    <mergeCell ref="B114:E114"/>
    <mergeCell ref="K141:L141"/>
    <mergeCell ref="K142:L142"/>
    <mergeCell ref="K143:L143"/>
    <mergeCell ref="B16:E16"/>
    <mergeCell ref="B47:E47"/>
    <mergeCell ref="B49:E49"/>
    <mergeCell ref="B63:E63"/>
    <mergeCell ref="B65:E65"/>
    <mergeCell ref="B64:E64"/>
    <mergeCell ref="B51:E51"/>
  </mergeCells>
  <phoneticPr fontId="17" type="noConversion"/>
  <pageMargins left="0.70866141732283472" right="0.70866141732283472" top="0.74803149606299213" bottom="0.74803149606299213" header="0.31496062992125984" footer="0.31496062992125984"/>
  <pageSetup paperSize="9" scale="48" fitToHeight="0" orientation="portrait" r:id="rId2"/>
  <ignoredErrors>
    <ignoredError sqref="L36 M19:M20 M31 M38:M39 M44:M46 M48 M52 M94:M95 M58:M59 M35:M36 M17 M80:M82 M78 M61:M62 M66:M75 H128 H36 M84:M85 M41:M42 M23:M29" formulaRange="1"/>
    <ignoredError sqref="G12 G13" unlockedFormula="1"/>
    <ignoredError sqref="T41:U41 T25:T26 T23:U23 T95 N36 N59 T39:V39 T20:V20 T82:T85 T17:T19 T58:V58 T35:V35 V25:V26 T80:V81 T31:V31 T52:V52 T24:V24 T36:T38 T48:V48 T44:V46 V62 V85 T94:V94 T59:T62 T78:V78 T66:V75 T42:V42 T27:V29" formulaRange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Рекомендациии по заполнению</vt:lpstr>
      <vt:lpstr>Анкета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Marat Khadu</cp:lastModifiedBy>
  <cp:lastPrinted>2024-05-29T08:42:57Z</cp:lastPrinted>
  <dcterms:created xsi:type="dcterms:W3CDTF">2018-08-13T00:41:48Z</dcterms:created>
  <dcterms:modified xsi:type="dcterms:W3CDTF">2026-08-14T14:24:40Z</dcterms:modified>
</cp:coreProperties>
</file>